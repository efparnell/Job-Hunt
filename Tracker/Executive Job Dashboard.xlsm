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sheets>
    <sheet name="Dashboard" sheetId="1" state="visible" r:id="rId1"/>
    <sheet name="Opportunities" sheetId="2" state="visible" r:id="rId2"/>
    <sheet name="Weekly Activity" sheetId="3" state="visible" r:id="rId3"/>
    <sheet name="Lists" sheetId="4" state="visible" r:id="rId4"/>
    <sheet name="Instructions"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1"/>
    </font>
    <font>
      <name val="Carlito"/>
      <b val="1"/>
      <color rgb="FFFFFFFF"/>
      <sz val="18"/>
    </font>
    <font>
      <name val="Carlito"/>
      <b val="1"/>
      <color rgb="FF222222"/>
      <sz val="11"/>
    </font>
    <font>
      <name val="Carlito"/>
      <color theme="1"/>
      <scheme val="minor"/>
    </font>
    <font>
      <name val="Carlito"/>
      <color rgb="FF222222"/>
      <sz val="11"/>
    </font>
    <font>
      <name val="Carlito"/>
      <color rgb="FF0000FF"/>
      <sz val="11"/>
      <u val="single"/>
    </font>
    <font/>
    <font>
      <name val="Carlito"/>
      <color rgb="FF222222"/>
    </font>
    <font>
      <name val="Carlito"/>
      <color theme="1"/>
    </font>
    <font>
      <name val="Carlito"/>
      <color rgb="FF1155CC"/>
      <u val="single"/>
    </font>
  </fonts>
  <fills count="6">
    <fill>
      <patternFill/>
    </fill>
    <fill>
      <patternFill patternType="lightGray"/>
    </fill>
    <fill>
      <patternFill patternType="solid">
        <fgColor rgb="FF1F4E78"/>
        <bgColor rgb="FF1F4E78"/>
      </patternFill>
    </fill>
    <fill>
      <patternFill patternType="solid">
        <fgColor rgb="FFE7E6E6"/>
        <bgColor rgb="FFE7E6E6"/>
      </patternFill>
    </fill>
    <fill>
      <patternFill patternType="solid">
        <fgColor rgb="FFD9EAF7"/>
        <bgColor rgb="FFD9EAF7"/>
      </patternFill>
    </fill>
    <fill>
      <patternFill patternType="solid">
        <fgColor rgb="FFFFFFFF"/>
        <bgColor rgb="FFFFFFFF"/>
      </patternFill>
    </fill>
  </fills>
  <borders count="9">
    <border/>
    <border>
      <left style="thin">
        <color rgb="FFD9E2F3"/>
      </left>
      <right style="thin">
        <color rgb="FFD9E2F3"/>
      </right>
      <top style="thin">
        <color rgb="FFD9E2F3"/>
      </top>
      <bottom style="thin">
        <color rgb="FFD9E2F3"/>
      </bottom>
    </border>
    <border>
      <left style="thin">
        <color rgb="FFCCCCCC"/>
      </left>
      <right style="thin">
        <color rgb="FFCCCCCC"/>
      </right>
      <top style="thin">
        <color rgb="FFCCCCCC"/>
      </top>
      <bottom style="thin">
        <color rgb="FFCCCCCC"/>
      </bottom>
    </border>
    <border>
      <left style="thin">
        <color rgb="FFD9E2F3"/>
      </left>
      <top style="thin">
        <color rgb="FFD9E2F3"/>
      </top>
      <bottom style="thin">
        <color rgb="FFD9E2F3"/>
      </bottom>
    </border>
    <border>
      <top style="thin">
        <color rgb="FFD9E2F3"/>
      </top>
      <bottom style="thin">
        <color rgb="FFD9E2F3"/>
      </bottom>
    </border>
    <border>
      <right style="thin">
        <color rgb="FFD9E2F3"/>
      </right>
      <top style="thin">
        <color rgb="FFD9E2F3"/>
      </top>
      <bottom style="thin">
        <color rgb="FFD9E2F3"/>
      </bottom>
    </border>
    <border>
      <left style="thin">
        <color rgb="FFD9E2F3"/>
      </left>
      <right style="thin">
        <color rgb="FFD9E2F3"/>
      </right>
      <bottom style="thin">
        <color rgb="FFD9E2F3"/>
      </bottom>
    </border>
    <border>
      <top style="thin">
        <color rgb="FFD9E2F3"/>
      </top>
    </border>
    <border>
      <right style="thin">
        <color rgb="FFD9E2F3"/>
      </right>
      <top style="thin">
        <color rgb="FFD9E2F3"/>
      </top>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wrapText="1"/>
    </xf>
    <xf numFmtId="0" fontId="2" fillId="2" borderId="0" applyAlignment="1" pivotButton="0" quotePrefix="0" xfId="0">
      <alignment horizontal="center"/>
    </xf>
    <xf numFmtId="0" fontId="3" fillId="2" borderId="1" applyAlignment="1" pivotButton="0" quotePrefix="0" xfId="0">
      <alignment vertical="top" wrapText="1"/>
    </xf>
    <xf numFmtId="0" fontId="4" fillId="0" borderId="0" pivotButton="0" quotePrefix="0" xfId="0"/>
    <xf numFmtId="0" fontId="3" fillId="3" borderId="1" applyAlignment="1" pivotButton="0" quotePrefix="0" xfId="0">
      <alignment vertical="top" wrapText="1"/>
    </xf>
    <xf numFmtId="0" fontId="3" fillId="2" borderId="2" applyAlignment="1" pivotButton="0" quotePrefix="0" xfId="0">
      <alignment vertical="top" wrapText="1"/>
    </xf>
    <xf numFmtId="164" fontId="5" fillId="0" borderId="1" applyAlignment="1" pivotButton="0" quotePrefix="0" xfId="0">
      <alignment vertical="top" wrapText="1"/>
    </xf>
    <xf numFmtId="0" fontId="5" fillId="0" borderId="1" applyAlignment="1" pivotButton="0" quotePrefix="0" xfId="0">
      <alignment vertical="top" wrapText="1"/>
    </xf>
    <xf numFmtId="1" fontId="5" fillId="0" borderId="1" applyAlignment="1" pivotButton="0" quotePrefix="0" xfId="0">
      <alignment vertical="top" wrapText="1"/>
    </xf>
    <xf numFmtId="0" fontId="5" fillId="0" borderId="2" applyAlignment="1" pivotButton="0" quotePrefix="0" xfId="0">
      <alignment vertical="top" wrapText="1"/>
    </xf>
    <xf numFmtId="0" fontId="5" fillId="0" borderId="2" applyAlignment="1" pivotButton="0" quotePrefix="0" xfId="0">
      <alignment vertical="top" wrapText="1"/>
    </xf>
    <xf numFmtId="164" fontId="5" fillId="0" borderId="2" applyAlignment="1" pivotButton="0" quotePrefix="0" xfId="0">
      <alignment vertical="top" wrapText="1"/>
    </xf>
    <xf numFmtId="1" fontId="5" fillId="0" borderId="2" applyAlignment="1" pivotButton="0" quotePrefix="0" xfId="0">
      <alignment vertical="top" wrapText="1"/>
    </xf>
    <xf numFmtId="0" fontId="1" fillId="2" borderId="0" pivotButton="0" quotePrefix="0" xfId="0"/>
    <xf numFmtId="0" fontId="3" fillId="4" borderId="1" applyAlignment="1" pivotButton="0" quotePrefix="0" xfId="0">
      <alignment vertical="top" wrapText="1"/>
    </xf>
    <xf numFmtId="0" fontId="6" fillId="0" borderId="2" applyAlignment="1" pivotButton="0" quotePrefix="0" xfId="0">
      <alignment vertical="top" wrapText="1"/>
    </xf>
    <xf numFmtId="0" fontId="5" fillId="0" borderId="3" applyAlignment="1" pivotButton="0" quotePrefix="0" xfId="0">
      <alignment vertical="top" wrapText="1"/>
    </xf>
    <xf numFmtId="0" fontId="7" fillId="0" borderId="4" pivotButton="0" quotePrefix="0" xfId="0"/>
    <xf numFmtId="0" fontId="7" fillId="0" borderId="5" pivotButton="0" quotePrefix="0" xfId="0"/>
    <xf numFmtId="164" fontId="5" fillId="0" borderId="2" applyAlignment="1" pivotButton="0" quotePrefix="0" xfId="0">
      <alignment vertical="top" wrapText="1"/>
    </xf>
    <xf numFmtId="0" fontId="8" fillId="5" borderId="2" applyAlignment="1" pivotButton="0" quotePrefix="0" xfId="0">
      <alignment vertical="top" wrapText="1"/>
    </xf>
    <xf numFmtId="164" fontId="8" fillId="5" borderId="2" applyAlignment="1" pivotButton="0" quotePrefix="0" xfId="0">
      <alignment vertical="top" wrapText="1"/>
    </xf>
    <xf numFmtId="164" fontId="9" fillId="5" borderId="2" applyAlignment="1" pivotButton="0" quotePrefix="0" xfId="0">
      <alignment vertical="top"/>
    </xf>
    <xf numFmtId="0" fontId="8"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164" fontId="9" fillId="5" borderId="2" applyAlignment="1" pivotButton="0" quotePrefix="0" xfId="0">
      <alignment vertical="top"/>
    </xf>
    <xf numFmtId="0" fontId="10" fillId="5" borderId="2" applyAlignment="1" pivotButton="0" quotePrefix="0" xfId="0">
      <alignment vertical="top" wrapText="1"/>
    </xf>
    <xf numFmtId="1" fontId="8" fillId="5" borderId="2" applyAlignment="1" pivotButton="0" quotePrefix="0" xfId="0">
      <alignment horizontal="right" vertical="top" wrapText="1"/>
    </xf>
    <xf numFmtId="0" fontId="9" fillId="5" borderId="2" applyAlignment="1" pivotButton="0" quotePrefix="0" xfId="0">
      <alignment vertical="top"/>
    </xf>
    <xf numFmtId="0" fontId="5" fillId="0" borderId="6" applyAlignment="1" pivotButton="0" quotePrefix="0" xfId="0">
      <alignment vertical="top" wrapText="1"/>
    </xf>
    <xf numFmtId="164" fontId="5" fillId="0" borderId="6" applyAlignment="1" pivotButton="0" quotePrefix="0" xfId="0">
      <alignment vertical="top" wrapText="1"/>
    </xf>
    <xf numFmtId="1" fontId="5" fillId="0" borderId="6" applyAlignment="1" pivotButton="0" quotePrefix="0" xfId="0">
      <alignment vertical="top" wrapText="1"/>
    </xf>
    <xf numFmtId="0" fontId="0" fillId="0" borderId="0" pivotButton="0" quotePrefix="0" xfId="0"/>
    <xf numFmtId="0" fontId="0" fillId="0" borderId="4" pivotButton="0" quotePrefix="0" xfId="0"/>
    <xf numFmtId="0" fontId="0" fillId="0" borderId="5" pivotButton="0" quotePrefix="0" xfId="0"/>
  </cellXfs>
  <cellStyles count="1">
    <cellStyle name="Normal" xfId="0" builtinId="0"/>
  </cellStyles>
  <dxfs count="1">
    <dxf>
      <font>
        <b val="1"/>
        <color rgb="FF9C0006"/>
      </font>
      <fill>
        <patternFill patternType="solid">
          <fgColor rgb="FFFCE4D6"/>
          <bgColor rgb="FFFCE4D6"/>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2.xml.rels><Relationships xmlns="http://schemas.openxmlformats.org/package/2006/relationships"><Relationship Type="http://schemas.openxmlformats.org/officeDocument/2006/relationships/hyperlink" Target="https://recruiting.ultipro.com/CAR1060CRTM/JobBoard/2625b169-13d2-4dbc-a867-a2ef29e59ef2/OpportunityDetail?opportunityId=bd3d7f4b-2a33-4a7c-b0eb-65032986110e" TargetMode="External" Id="rId1" /><Relationship Type="http://schemas.openxmlformats.org/officeDocument/2006/relationships/hyperlink" Target="https://www.linkedin.com/jobs/view/4452772008/" TargetMode="External" Id="rId2" /><Relationship Type="http://schemas.openxmlformats.org/officeDocument/2006/relationships/hyperlink" Target="https://www.linkedin.com/jobs/view/4445946841/" TargetMode="External" Id="rId3" /><Relationship Type="http://schemas.openxmlformats.org/officeDocument/2006/relationships/hyperlink" Target="https://www.linkedin.com/jobs/view/4451071739/" TargetMode="External" Id="rId4" /><Relationship Type="http://schemas.openxmlformats.org/officeDocument/2006/relationships/hyperlink" Target="https://sourcehire.app/jobs/operations-manager" TargetMode="External" Id="rId5" /><Relationship Type="http://schemas.openxmlformats.org/officeDocument/2006/relationships/hyperlink" Target="https://www.linkedin.com/jobs/view/4452244074/" TargetMode="External" Id="rId6" /><Relationship Type="http://schemas.openxmlformats.org/officeDocument/2006/relationships/hyperlink" Target="https://www.indeed.com/viewjob?jk=b00efaba849816de&amp;tk=1k07md3fdhgu0801&amp;from=jobi2a_jobmatch-reactivation-en-US_email&amp;rjptk=1k07md2ckme7t806&amp;xpse=SoDf67I2fQB0z8yNtp0LbzkdCdPP&amp;xfps=468a6f4a-5e79-47cc-91ac-39e62e1f06e5&amp;xkcb=SoB067M2fHk7RMU7WZ0KbzkdCdPP" TargetMode="External" Id="rId7" /><Relationship Type="http://schemas.openxmlformats.org/officeDocument/2006/relationships/hyperlink" Target="https://www.linkedin.com/jobs/view/4446523351/" TargetMode="External" Id="rId8" /><Relationship Type="http://schemas.openxmlformats.org/officeDocument/2006/relationships/hyperlink" Target="https://www.linkedin.com/jobs/view/4452833397/" TargetMode="External" Id="rId9" /><Relationship Type="http://schemas.openxmlformats.org/officeDocument/2006/relationships/hyperlink" Target="https://www.linkedin.com/jobs/view/4433314898/" TargetMode="External" Id="rId10" /><Relationship Type="http://schemas.openxmlformats.org/officeDocument/2006/relationships/hyperlink" Target="https://www.linkedin.com/jobs/view/4452986729/" TargetMode="External" Id="rId11" /><Relationship Type="http://schemas.openxmlformats.org/officeDocument/2006/relationships/hyperlink" Target="https://www.linkedin.com/jobs/view/4456758511/" TargetMode="External" Id="rId12" /></Relationships>
</file>

<file path=xl/worksheets/sheet1.xml><?xml version="1.0" encoding="utf-8"?>
<worksheet xmlns="http://schemas.openxmlformats.org/spreadsheetml/2006/main">
  <sheetPr>
    <outlinePr summaryBelow="1" summaryRight="1"/>
    <pageSetUpPr/>
  </sheetPr>
  <dimension ref="A1:H17"/>
  <sheetViews>
    <sheetView showGridLines="0" workbookViewId="0">
      <selection activeCell="A1" sqref="A1"/>
    </sheetView>
  </sheetViews>
  <sheetFormatPr baseColWidth="8" defaultColWidth="12.63" defaultRowHeight="15" customHeight="1"/>
  <cols>
    <col width="24" customWidth="1" style="34" min="1" max="1"/>
    <col width="18" customWidth="1" style="34" min="2" max="2"/>
    <col width="4" customWidth="1" style="34" min="3" max="3"/>
    <col width="28" customWidth="1" style="34" min="4" max="4"/>
    <col width="16" customWidth="1" style="34" min="5" max="5"/>
    <col width="4" customWidth="1" style="34" min="6" max="6"/>
    <col width="16" customWidth="1" style="34" min="7" max="8"/>
    <col width="8.630000000000001" customWidth="1" style="34" min="9" max="26"/>
  </cols>
  <sheetData>
    <row r="1" ht="33.75" customHeight="1" s="34">
      <c r="A1" s="2" t="inlineStr">
        <is>
          <t>EXECUTIVE JOB SEARCH DASHBOARD</t>
        </is>
      </c>
    </row>
    <row r="3">
      <c r="A3" s="5" t="inlineStr">
        <is>
          <t>PIPELINE METRIC</t>
        </is>
      </c>
      <c r="B3" s="5" t="inlineStr">
        <is>
          <t>CURRENT</t>
        </is>
      </c>
      <c r="D3" s="5" t="inlineStr">
        <is>
          <t>WEEKLY KPI</t>
        </is>
      </c>
      <c r="E3" s="5" t="inlineStr">
        <is>
          <t>CURRENT</t>
        </is>
      </c>
    </row>
    <row r="4">
      <c r="A4" s="8" t="inlineStr">
        <is>
          <t>Active opportunities</t>
        </is>
      </c>
      <c r="B4" s="8">
        <f>COUNTIF(Opportunities!$J$2:$J$194,"&lt;&gt;Closed*")-COUNTBLANK(Opportunities!$A$2:$A$194)</f>
        <v/>
      </c>
      <c r="D4" s="8" t="inlineStr">
        <is>
          <t>Targeted applications</t>
        </is>
      </c>
      <c r="E4" s="9">
        <f>SUM('Weekly Activity'!B$2:B$55)</f>
        <v/>
      </c>
    </row>
    <row r="5">
      <c r="A5" s="8" t="inlineStr">
        <is>
          <t>Applied</t>
        </is>
      </c>
      <c r="B5" s="8">
        <f>COUNTIF(Opportunities!$J$2:$J$194,"Applied")</f>
        <v/>
      </c>
      <c r="D5" s="8" t="inlineStr">
        <is>
          <t>Warm outreaches</t>
        </is>
      </c>
      <c r="E5" s="9">
        <f>SUM('Weekly Activity'!C$2:C$55)</f>
        <v/>
      </c>
    </row>
    <row r="6">
      <c r="A6" s="8" t="inlineStr">
        <is>
          <t>Networking / referral</t>
        </is>
      </c>
      <c r="B6" s="8">
        <f>COUNTIF(Opportunities!$J$2:$J$194,"Networking")</f>
        <v/>
      </c>
      <c r="D6" s="8" t="inlineStr">
        <is>
          <t>Recruiter conversations</t>
        </is>
      </c>
      <c r="E6" s="9">
        <f>SUM('Weekly Activity'!D$2:D$55)</f>
        <v/>
      </c>
    </row>
    <row r="7">
      <c r="A7" s="8" t="inlineStr">
        <is>
          <t>Interviewing</t>
        </is>
      </c>
      <c r="B7" s="8">
        <f>COUNTIF(Opportunities!$J$2:$J$194,"Interviewing")</f>
        <v/>
      </c>
      <c r="D7" s="8" t="inlineStr">
        <is>
          <t>Hiring-manager conversations</t>
        </is>
      </c>
      <c r="E7" s="9">
        <f>SUM('Weekly Activity'!E$2:E$55)</f>
        <v/>
      </c>
    </row>
    <row r="8">
      <c r="A8" s="8" t="inlineStr">
        <is>
          <t>Late stage</t>
        </is>
      </c>
      <c r="B8" s="8">
        <f>COUNTIF(Opportunities!$J$2:$J$194,"Final Round")</f>
        <v/>
      </c>
      <c r="D8" s="8" t="inlineStr">
        <is>
          <t>Interviews</t>
        </is>
      </c>
      <c r="E8" s="9">
        <f>SUM('Weekly Activity'!F$2:F$55)</f>
        <v/>
      </c>
    </row>
    <row r="9">
      <c r="A9" s="8" t="inlineStr">
        <is>
          <t>Offers</t>
        </is>
      </c>
      <c r="B9" s="8">
        <f>COUNTIF(Opportunities!$J$2:$J$194,"Offer")</f>
        <v/>
      </c>
      <c r="D9" s="8" t="inlineStr">
        <is>
          <t>Follow-ups due</t>
        </is>
      </c>
      <c r="E9" s="8">
        <f>COUNTIFS(Opportunities!$P$2:$P$194,"&lt;="&amp;TODAY(),Opportunities!$P$2:$P$194,"&gt;0",Opportunities!$J$2:$J$194,"&lt;&gt;Closed*")</f>
        <v/>
      </c>
    </row>
    <row r="12">
      <c r="A12" s="14" t="inlineStr">
        <is>
          <t>SEARCH POSITIONING</t>
        </is>
      </c>
    </row>
    <row r="13">
      <c r="A13" s="15" t="inlineStr">
        <is>
          <t>Target roles</t>
        </is>
      </c>
      <c r="B13" s="8" t="inlineStr">
        <is>
          <t>Director; Senior Director; VP Operations; Managing Director; Business Unit Leader; General Manager</t>
        </is>
      </c>
      <c r="C13" s="35" t="n"/>
      <c r="D13" s="35" t="n"/>
      <c r="E13" s="35" t="n"/>
      <c r="F13" s="35" t="n"/>
      <c r="G13" s="35" t="n"/>
      <c r="H13" s="36" t="n"/>
    </row>
    <row r="14">
      <c r="A14" s="15" t="inlineStr">
        <is>
          <t>Core sectors</t>
        </is>
      </c>
      <c r="B14" s="8" t="inlineStr">
        <is>
          <t>Technical services; HVAC; mission-critical facilities; industrial services; building automation; equipment dealerships; environmental and laboratory services</t>
        </is>
      </c>
      <c r="C14" s="35" t="n"/>
      <c r="D14" s="35" t="n"/>
      <c r="E14" s="35" t="n"/>
      <c r="F14" s="35" t="n"/>
      <c r="G14" s="35" t="n"/>
      <c r="H14" s="36" t="n"/>
    </row>
    <row r="15">
      <c r="A15" s="15" t="inlineStr">
        <is>
          <t>Value proposition</t>
        </is>
      </c>
      <c r="B15" s="8" t="inlineStr">
        <is>
          <t>Executive operator who turns growth and complexity into accountable systems, scalable leadership, commercial discipline, and measurable execution.</t>
        </is>
      </c>
      <c r="C15" s="35" t="n"/>
      <c r="D15" s="35" t="n"/>
      <c r="E15" s="35" t="n"/>
      <c r="F15" s="35" t="n"/>
      <c r="G15" s="35" t="n"/>
      <c r="H15" s="36" t="n"/>
    </row>
    <row r="16">
      <c r="A16" s="15" t="inlineStr">
        <is>
          <t>Proof points</t>
        </is>
      </c>
      <c r="B16" s="8" t="inlineStr">
        <is>
          <t>8 locations / 300+ employees / $10M operating budget; $1M+ financing; ISO 9001 and ISO 17025; 30% sales increase and 40% cost reduction in four months.</t>
        </is>
      </c>
      <c r="C16" s="35" t="n"/>
      <c r="D16" s="35" t="n"/>
      <c r="E16" s="35" t="n"/>
      <c r="F16" s="35" t="n"/>
      <c r="G16" s="35" t="n"/>
      <c r="H16" s="36" t="n"/>
    </row>
    <row r="17">
      <c r="A17" s="15" t="inlineStr">
        <is>
          <t>Location base</t>
        </is>
      </c>
      <c r="B17" s="8" t="inlineStr">
        <is>
          <t>Annapolis, Maryland; define travel, relocation, and remote parameters per opportunity.</t>
        </is>
      </c>
      <c r="C17" s="35" t="n"/>
      <c r="D17" s="35" t="n"/>
      <c r="E17" s="35" t="n"/>
      <c r="F17" s="35" t="n"/>
      <c r="G17" s="35" t="n"/>
      <c r="H17" s="36" t="n"/>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mergeCells count="7">
    <mergeCell ref="A12:H12"/>
    <mergeCell ref="B14:H14"/>
    <mergeCell ref="B17:H17"/>
    <mergeCell ref="B13:H13"/>
    <mergeCell ref="B16:H16"/>
    <mergeCell ref="B15:H15"/>
    <mergeCell ref="A1:H1"/>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U194"/>
  <sheetViews>
    <sheetView showGridLines="0" workbookViewId="0">
      <pane ySplit="1" topLeftCell="A2" activePane="bottomLeft" state="frozen"/>
      <selection pane="bottomLeft" activeCell="B3" sqref="B3"/>
    </sheetView>
  </sheetViews>
  <sheetFormatPr baseColWidth="8" defaultColWidth="12.63" defaultRowHeight="15" customHeight="1"/>
  <cols>
    <col width="14" customWidth="1" style="34" min="1" max="1"/>
    <col width="24" customWidth="1" style="34" min="2" max="2"/>
    <col width="28" customWidth="1" style="34" min="3" max="3"/>
    <col width="18" customWidth="1" style="34" min="4" max="4"/>
    <col width="24" customWidth="1" style="34" min="5" max="5"/>
    <col width="18" customWidth="1" style="34" min="6" max="7"/>
    <col width="14" customWidth="1" style="34" min="8" max="9"/>
    <col width="18" customWidth="1" style="34" min="10" max="10"/>
    <col width="12" customWidth="1" style="34" min="11" max="12"/>
    <col width="18" customWidth="1" style="34" min="13" max="13"/>
    <col width="24" customWidth="1" style="34" min="14" max="14"/>
    <col width="30" customWidth="1" style="34" min="15" max="15"/>
    <col width="16" customWidth="1" style="34" min="16" max="16"/>
    <col width="14" customWidth="1" style="34" min="17" max="17"/>
    <col width="34" customWidth="1" style="34" min="18" max="18"/>
    <col width="24" customWidth="1" style="34" min="19" max="19"/>
    <col width="16" customWidth="1" style="34" min="20" max="20"/>
    <col width="44" customWidth="1" style="34" min="21" max="21"/>
    <col width="8.630000000000001" customWidth="1" style="34" min="22" max="26"/>
  </cols>
  <sheetData>
    <row r="1" ht="30" customHeight="1" s="34">
      <c r="A1" s="6" t="inlineStr">
        <is>
          <t>Opportunity ID</t>
        </is>
      </c>
      <c r="B1" s="6" t="inlineStr">
        <is>
          <t>Company</t>
        </is>
      </c>
      <c r="C1" s="6" t="inlineStr">
        <is>
          <t>Role</t>
        </is>
      </c>
      <c r="D1" s="6" t="inlineStr">
        <is>
          <t>Role Level</t>
        </is>
      </c>
      <c r="E1" s="6" t="inlineStr">
        <is>
          <t>Industry</t>
        </is>
      </c>
      <c r="F1" s="6" t="inlineStr">
        <is>
          <t>Location</t>
        </is>
      </c>
      <c r="G1" s="6" t="inlineStr">
        <is>
          <t>Source</t>
        </is>
      </c>
      <c r="H1" s="6" t="inlineStr">
        <is>
          <t>Date Found</t>
        </is>
      </c>
      <c r="I1" s="6" t="inlineStr">
        <is>
          <t>Date Applied</t>
        </is>
      </c>
      <c r="J1" s="6" t="inlineStr">
        <is>
          <t>Stage</t>
        </is>
      </c>
      <c r="K1" s="6" t="inlineStr">
        <is>
          <t>Priority</t>
        </is>
      </c>
      <c r="L1" s="6" t="inlineStr">
        <is>
          <t>Fit Score</t>
        </is>
      </c>
      <c r="M1" s="6" t="inlineStr">
        <is>
          <t>Comp Range</t>
        </is>
      </c>
      <c r="N1" s="6" t="inlineStr">
        <is>
          <t>Champion / Referral</t>
        </is>
      </c>
      <c r="O1" s="6" t="inlineStr">
        <is>
          <t>Next Action</t>
        </is>
      </c>
      <c r="P1" s="6" t="inlineStr">
        <is>
          <t>Next Action Date</t>
        </is>
      </c>
      <c r="Q1" s="6" t="inlineStr">
        <is>
          <t>Last Touch</t>
        </is>
      </c>
      <c r="R1" s="6" t="inlineStr">
        <is>
          <t>Posting URL</t>
        </is>
      </c>
      <c r="S1" s="6" t="inlineStr">
        <is>
          <t>Resume Version</t>
        </is>
      </c>
      <c r="T1" s="6" t="inlineStr">
        <is>
          <t>Cover Letter</t>
        </is>
      </c>
      <c r="U1" s="6" t="inlineStr">
        <is>
          <t>Notes</t>
        </is>
      </c>
    </row>
    <row r="2">
      <c r="A2" s="11" t="inlineStr">
        <is>
          <t>OPP-001</t>
        </is>
      </c>
      <c r="B2" s="11" t="inlineStr">
        <is>
          <t>Carter Machinery</t>
        </is>
      </c>
      <c r="C2" s="11" t="inlineStr">
        <is>
          <t>EPG Service Manager</t>
        </is>
      </c>
      <c r="D2" s="11" t="inlineStr">
        <is>
          <t>General Manager</t>
        </is>
      </c>
      <c r="E2" s="11" t="inlineStr">
        <is>
          <t>Equipment dealership / technical service</t>
        </is>
      </c>
      <c r="F2" s="11" t="inlineStr">
        <is>
          <t>Elkridge, MD</t>
        </is>
      </c>
      <c r="G2" s="11" t="inlineStr">
        <is>
          <t>Recruiter</t>
        </is>
      </c>
      <c r="H2" s="20" t="n">
        <v>46246</v>
      </c>
      <c r="I2" s="20" t="n">
        <v>46246</v>
      </c>
      <c r="J2" s="11" t="inlineStr">
        <is>
          <t>Closed - Lost</t>
        </is>
      </c>
      <c r="K2" s="11" t="inlineStr">
        <is>
          <t>A</t>
        </is>
      </c>
      <c r="L2" s="13" t="n">
        <v>90</v>
      </c>
      <c r="M2" s="11" t="inlineStr">
        <is>
          <t>85 - 115k</t>
        </is>
      </c>
      <c r="N2" s="11" t="n"/>
      <c r="O2" s="11" t="n"/>
      <c r="P2" s="20" t="n"/>
      <c r="Q2" s="11" t="inlineStr">
        <is>
          <t>Dennis reply 9/10/26 - kept on file, no opening</t>
        </is>
      </c>
      <c r="R2" s="16" t="inlineStr">
        <is>
          <t>Link</t>
        </is>
      </c>
      <c r="S2" s="11" t="inlineStr">
        <is>
          <t>Technical Services</t>
        </is>
      </c>
      <c r="T2" s="11" t="inlineStr">
        <is>
          <t>Ready</t>
        </is>
      </c>
      <c r="U2" s="11" t="inlineStr">
        <is>
          <t>Interview scheduled; strongest direct service-market signal. Closed 9/10/26: Dennis replied "your application will remain in my files" - no active opening. Comp (85-115k) was below target but pursued given strength of fit; high end was near enough to my low end. Consistent with Lessons Learned: lost to a candidate with direct product knowledge.</t>
        </is>
      </c>
    </row>
    <row r="3">
      <c r="A3" s="11" t="inlineStr">
        <is>
          <t>OPP-002</t>
        </is>
      </c>
      <c r="B3" s="11" t="inlineStr">
        <is>
          <t>Albireo Energy</t>
        </is>
      </c>
      <c r="C3" s="11" t="inlineStr">
        <is>
          <t>Director of Operations - Data Centers</t>
        </is>
      </c>
      <c r="D3" s="11" t="inlineStr">
        <is>
          <t>Director</t>
        </is>
      </c>
      <c r="E3" s="11" t="inlineStr">
        <is>
          <t>Building automation / mission critical</t>
        </is>
      </c>
      <c r="F3" s="11" t="inlineStr">
        <is>
          <t>Gambrills, MD</t>
        </is>
      </c>
      <c r="G3" s="11" t="inlineStr">
        <is>
          <t>Existing search</t>
        </is>
      </c>
      <c r="H3" s="20" t="n">
        <v>46248</v>
      </c>
      <c r="I3" s="20" t="n">
        <v>46248</v>
      </c>
      <c r="J3" s="11" t="inlineStr">
        <is>
          <t>Closed - Lost</t>
        </is>
      </c>
      <c r="K3" s="11" t="inlineStr">
        <is>
          <t>A</t>
        </is>
      </c>
      <c r="L3" s="13" t="n">
        <v>92</v>
      </c>
      <c r="M3" s="11" t="inlineStr">
        <is>
          <t>250 - 285k</t>
        </is>
      </c>
      <c r="N3" s="11" t="n"/>
      <c r="O3" s="11" t="inlineStr">
        <is>
          <t>Follow up and map operating leaders</t>
        </is>
      </c>
      <c r="P3" s="20" t="n"/>
      <c r="Q3" s="20" t="n">
        <v>46255</v>
      </c>
      <c r="R3" s="16" t="inlineStr">
        <is>
          <t>Link</t>
        </is>
      </c>
      <c r="S3" s="11" t="inlineStr">
        <is>
          <t>Data Center</t>
        </is>
      </c>
      <c r="T3" s="11" t="inlineStr">
        <is>
          <t>Submitted</t>
        </is>
      </c>
      <c r="U3" s="11" t="inlineStr">
        <is>
          <t>High alignment to building automation and mission-critical operations.</t>
        </is>
      </c>
    </row>
    <row r="4">
      <c r="A4" s="11" t="inlineStr">
        <is>
          <t>OPP-003</t>
        </is>
      </c>
      <c r="B4" s="11" t="inlineStr">
        <is>
          <t>GT Independence</t>
        </is>
      </c>
      <c r="C4" s="11" t="inlineStr">
        <is>
          <t>Senior Director of Operations</t>
        </is>
      </c>
      <c r="D4" s="11" t="inlineStr">
        <is>
          <t>Senior Director</t>
        </is>
      </c>
      <c r="E4" s="11" t="inlineStr">
        <is>
          <t>Healthcare / services</t>
        </is>
      </c>
      <c r="F4" s="11" t="inlineStr">
        <is>
          <t>Remote</t>
        </is>
      </c>
      <c r="G4" s="11" t="inlineStr">
        <is>
          <t>Existing search</t>
        </is>
      </c>
      <c r="H4" s="20" t="n">
        <v>46249</v>
      </c>
      <c r="I4" s="20" t="n">
        <v>46249</v>
      </c>
      <c r="J4" s="11" t="inlineStr">
        <is>
          <t>Applied</t>
        </is>
      </c>
      <c r="K4" s="11" t="inlineStr">
        <is>
          <t>B</t>
        </is>
      </c>
      <c r="L4" s="13" t="n">
        <v>82</v>
      </c>
      <c r="M4" s="11" t="inlineStr">
        <is>
          <t>Not listed</t>
        </is>
      </c>
      <c r="N4" s="11" t="n"/>
      <c r="O4" s="11" t="inlineStr">
        <is>
          <t>Passive - assumed dead end (Evan 9/18); no follow-up. Close 10/2 if no inbound contact</t>
        </is>
      </c>
      <c r="P4" s="20" t="n">
        <v>46297</v>
      </c>
      <c r="Q4" s="20" t="n">
        <v>46249</v>
      </c>
      <c r="R4" s="16" t="inlineStr">
        <is>
          <t>link</t>
        </is>
      </c>
      <c r="S4" s="11" t="inlineStr">
        <is>
          <t>Executive</t>
        </is>
      </c>
      <c r="T4" s="11" t="inlineStr">
        <is>
          <t>Submitted</t>
        </is>
      </c>
      <c r="U4" s="11" t="inlineStr">
        <is>
          <t>Good leadership scope; weaker technical-services adjacency.</t>
        </is>
      </c>
    </row>
    <row r="5">
      <c r="A5" s="11" t="inlineStr">
        <is>
          <t>OPP-004</t>
        </is>
      </c>
      <c r="B5" s="11" t="inlineStr">
        <is>
          <t>Fulchester Consultants</t>
        </is>
      </c>
      <c r="C5" s="11" t="inlineStr">
        <is>
          <t>Managing Director</t>
        </is>
      </c>
      <c r="D5" s="11" t="inlineStr">
        <is>
          <t>Managing Director</t>
        </is>
      </c>
      <c r="E5" s="11" t="inlineStr">
        <is>
          <t>Professional services</t>
        </is>
      </c>
      <c r="F5" s="11" t="inlineStr">
        <is>
          <t>Remote</t>
        </is>
      </c>
      <c r="G5" s="11" t="inlineStr">
        <is>
          <t>Existing search</t>
        </is>
      </c>
      <c r="H5" s="20" t="n">
        <v>46251</v>
      </c>
      <c r="I5" s="20" t="n">
        <v>46251</v>
      </c>
      <c r="J5" s="11" t="inlineStr">
        <is>
          <t>Applied</t>
        </is>
      </c>
      <c r="K5" s="11" t="inlineStr">
        <is>
          <t>B</t>
        </is>
      </c>
      <c r="L5" s="13" t="n">
        <v>78</v>
      </c>
      <c r="M5" s="11" t="inlineStr">
        <is>
          <t>Not listed</t>
        </is>
      </c>
      <c r="N5" s="11" t="n"/>
      <c r="O5" s="11" t="inlineStr">
        <is>
          <t>Passive - assumed dead end (Evan 9/18); no follow-up. Close 10/2 if no inbound contact</t>
        </is>
      </c>
      <c r="P5" s="20" t="n">
        <v>46297</v>
      </c>
      <c r="Q5" s="20" t="n">
        <v>46251</v>
      </c>
      <c r="R5" s="16" t="inlineStr">
        <is>
          <t>link</t>
        </is>
      </c>
      <c r="S5" s="11" t="inlineStr">
        <is>
          <t>Executive</t>
        </is>
      </c>
      <c r="T5" s="11" t="inlineStr">
        <is>
          <t>Submitted</t>
        </is>
      </c>
      <c r="U5" s="11" t="inlineStr">
        <is>
          <t>Leadership fit; sector adjacency requires validation.</t>
        </is>
      </c>
    </row>
    <row r="6">
      <c r="A6" s="11" t="inlineStr">
        <is>
          <t>OPP-005</t>
        </is>
      </c>
      <c r="B6" s="11" t="inlineStr">
        <is>
          <t>SourceHire Confidential</t>
        </is>
      </c>
      <c r="C6" s="11" t="inlineStr">
        <is>
          <t>Operations Director</t>
        </is>
      </c>
      <c r="D6" s="11" t="inlineStr">
        <is>
          <t>Director</t>
        </is>
      </c>
      <c r="E6" s="11" t="inlineStr">
        <is>
          <t>Confidential technical / industrial</t>
        </is>
      </c>
      <c r="F6" s="11" t="inlineStr">
        <is>
          <t>Remote</t>
        </is>
      </c>
      <c r="G6" s="11" t="inlineStr">
        <is>
          <t>Recruiter</t>
        </is>
      </c>
      <c r="H6" s="20" t="n">
        <v>46242</v>
      </c>
      <c r="I6" s="20" t="n">
        <v>46244</v>
      </c>
      <c r="J6" s="11" t="inlineStr">
        <is>
          <t>Applied</t>
        </is>
      </c>
      <c r="K6" s="11" t="inlineStr">
        <is>
          <t>A</t>
        </is>
      </c>
      <c r="L6" s="13" t="n">
        <v>88</v>
      </c>
      <c r="M6" s="11" t="inlineStr">
        <is>
          <t>250 - 350k</t>
        </is>
      </c>
      <c r="N6" s="11" t="n"/>
      <c r="O6" s="11" t="inlineStr">
        <is>
          <t>Passive - assumed dead end (Evan 9/18); no follow-up. Close 10/2 if no inbound contact</t>
        </is>
      </c>
      <c r="P6" s="20" t="n">
        <v>46297</v>
      </c>
      <c r="Q6" s="20" t="n">
        <v>46244</v>
      </c>
      <c r="R6" s="16" t="inlineStr">
        <is>
          <t>link</t>
        </is>
      </c>
      <c r="S6" s="11" t="inlineStr">
        <is>
          <t>Technical Services</t>
        </is>
      </c>
      <c r="T6" s="11" t="inlineStr">
        <is>
          <t>Submitted</t>
        </is>
      </c>
      <c r="U6" s="11" t="inlineStr">
        <is>
          <t>Recruiter-led opportunity; retain relationship intelligence.</t>
        </is>
      </c>
    </row>
    <row r="7">
      <c r="A7" s="11" t="inlineStr">
        <is>
          <t>OPP-006</t>
        </is>
      </c>
      <c r="B7" s="11" t="inlineStr">
        <is>
          <t>Commercial Residential Services</t>
        </is>
      </c>
      <c r="C7" s="11" t="inlineStr">
        <is>
          <t>Director of Operations</t>
        </is>
      </c>
      <c r="D7" s="11" t="inlineStr">
        <is>
          <t>Director</t>
        </is>
      </c>
      <c r="E7" s="11" t="inlineStr">
        <is>
          <t>Residential services</t>
        </is>
      </c>
      <c r="F7" s="11" t="inlineStr">
        <is>
          <t>Remote</t>
        </is>
      </c>
      <c r="G7" s="11" t="inlineStr">
        <is>
          <t>Recruiter</t>
        </is>
      </c>
      <c r="H7" s="20" t="n">
        <v>46239</v>
      </c>
      <c r="I7" s="20" t="n">
        <v>46243</v>
      </c>
      <c r="J7" s="11" t="inlineStr">
        <is>
          <t>Closed - Lost</t>
        </is>
      </c>
      <c r="K7" s="11" t="inlineStr">
        <is>
          <t>B</t>
        </is>
      </c>
      <c r="L7" s="13" t="n">
        <v>76</v>
      </c>
      <c r="M7" s="11" t="inlineStr">
        <is>
          <t>Listing Pulled - Don't remember</t>
        </is>
      </c>
      <c r="N7" s="11" t="n"/>
      <c r="O7" s="11" t="n"/>
      <c r="P7" s="20" t="n"/>
      <c r="Q7" s="20" t="inlineStr">
        <is>
          <t>Self-closed 9/18/26 - no response since applying</t>
        </is>
      </c>
      <c r="R7" s="11" t="inlineStr">
        <is>
          <t>Pulled Down</t>
        </is>
      </c>
      <c r="S7" s="11" t="inlineStr">
        <is>
          <t>Technical Services</t>
        </is>
      </c>
      <c r="T7" s="11" t="inlineStr">
        <is>
          <t>Submitted</t>
        </is>
      </c>
      <c r="U7" s="11" t="inlineStr">
        <is>
          <t>Recruiter ghosted; relationship and process lesson. Closed 9/18/26 in pipeline hygiene pass: listing pulled, recruiter silent 6 weeks since 8/9 application.</t>
        </is>
      </c>
    </row>
    <row r="8">
      <c r="A8" s="11" t="inlineStr">
        <is>
          <t>OPP-007</t>
        </is>
      </c>
      <c r="B8" s="11" t="inlineStr">
        <is>
          <t>Inclusive Abundance</t>
        </is>
      </c>
      <c r="C8" s="11" t="inlineStr">
        <is>
          <t>Chief Operating Officer</t>
        </is>
      </c>
      <c r="D8" s="11" t="inlineStr">
        <is>
          <t>COO</t>
        </is>
      </c>
      <c r="E8" s="11" t="inlineStr">
        <is>
          <t>Nonprofit / services</t>
        </is>
      </c>
      <c r="F8" s="11" t="inlineStr">
        <is>
          <t>Remote</t>
        </is>
      </c>
      <c r="G8" s="11" t="inlineStr">
        <is>
          <t>Existing search</t>
        </is>
      </c>
      <c r="H8" s="20" t="n">
        <v>46249</v>
      </c>
      <c r="I8" s="20" t="n">
        <v>46249</v>
      </c>
      <c r="J8" s="11" t="inlineStr">
        <is>
          <t>Closed - Lost</t>
        </is>
      </c>
      <c r="K8" s="11" t="inlineStr">
        <is>
          <t>C</t>
        </is>
      </c>
      <c r="L8" s="13" t="n">
        <v>60</v>
      </c>
      <c r="M8" s="11" t="inlineStr">
        <is>
          <t>Don't remember</t>
        </is>
      </c>
      <c r="N8" s="11" t="n"/>
      <c r="O8" s="11" t="inlineStr">
        <is>
          <t>Capture rejection lesson</t>
        </is>
      </c>
      <c r="P8" s="20" t="n"/>
      <c r="Q8" s="20" t="n"/>
      <c r="R8" s="11" t="inlineStr">
        <is>
          <t>Can't find it</t>
        </is>
      </c>
      <c r="S8" s="11" t="inlineStr">
        <is>
          <t>Executive</t>
        </is>
      </c>
      <c r="T8" s="11" t="inlineStr">
        <is>
          <t>Submitted</t>
        </is>
      </c>
      <c r="U8" s="11" t="inlineStr">
        <is>
          <t>Rejected; supports move away from generic COO targeting.</t>
        </is>
      </c>
    </row>
    <row r="9">
      <c r="A9" s="11" t="inlineStr">
        <is>
          <t>OPP-008</t>
        </is>
      </c>
      <c r="B9" s="11" t="inlineStr">
        <is>
          <t>Super Hire</t>
        </is>
      </c>
      <c r="C9" s="11" t="inlineStr">
        <is>
          <t>Chief Operating Officer</t>
        </is>
      </c>
      <c r="D9" s="11" t="inlineStr">
        <is>
          <t>COO</t>
        </is>
      </c>
      <c r="E9" s="11" t="inlineStr">
        <is>
          <t>Services</t>
        </is>
      </c>
      <c r="F9" s="11" t="inlineStr">
        <is>
          <t>Remote</t>
        </is>
      </c>
      <c r="G9" s="11" t="inlineStr">
        <is>
          <t>Existing search</t>
        </is>
      </c>
      <c r="H9" s="20" t="n">
        <v>46252</v>
      </c>
      <c r="I9" s="20" t="n">
        <v>46252</v>
      </c>
      <c r="J9" s="11" t="inlineStr">
        <is>
          <t>Closed - Lost</t>
        </is>
      </c>
      <c r="K9" s="11" t="inlineStr">
        <is>
          <t>C</t>
        </is>
      </c>
      <c r="L9" s="13" t="n">
        <v>65</v>
      </c>
      <c r="M9" s="11" t="inlineStr">
        <is>
          <t>Not Listed</t>
        </is>
      </c>
      <c r="N9" s="11" t="n"/>
      <c r="O9" s="11" t="n"/>
      <c r="P9" s="20" t="n"/>
      <c r="Q9" s="20" t="inlineStr">
        <is>
          <t>Self-closed 9/18/26 - no response since applying</t>
        </is>
      </c>
      <c r="R9" s="16" t="inlineStr">
        <is>
          <t>link</t>
        </is>
      </c>
      <c r="S9" s="11" t="inlineStr">
        <is>
          <t>Executive</t>
        </is>
      </c>
      <c r="T9" s="11" t="inlineStr">
        <is>
          <t>Submitted</t>
        </is>
      </c>
      <c r="U9" s="11" t="inlineStr">
        <is>
          <t>Generic COO role; lower-priority pattern. Closed 9/18/26 in pipeline hygiene pass: below fit threshold (65), generic COO pattern, no response in 31 days.</t>
        </is>
      </c>
    </row>
    <row r="10">
      <c r="A10" s="11" t="inlineStr">
        <is>
          <t>OPP-009</t>
        </is>
      </c>
      <c r="B10" s="11" t="inlineStr">
        <is>
          <t>BGW Creative Marketing</t>
        </is>
      </c>
      <c r="C10" s="11" t="inlineStr">
        <is>
          <t>Director of Operations</t>
        </is>
      </c>
      <c r="D10" s="11" t="inlineStr">
        <is>
          <t>Director</t>
        </is>
      </c>
      <c r="E10" s="11" t="inlineStr">
        <is>
          <t>Marketing services</t>
        </is>
      </c>
      <c r="F10" s="11" t="inlineStr">
        <is>
          <t>Remote</t>
        </is>
      </c>
      <c r="G10" s="11" t="inlineStr">
        <is>
          <t xml:space="preserve">Indeed Email </t>
        </is>
      </c>
      <c r="H10" s="20" t="n">
        <v>46251</v>
      </c>
      <c r="I10" s="20" t="n">
        <v>46251</v>
      </c>
      <c r="J10" s="11" t="inlineStr">
        <is>
          <t>Closed - Lost</t>
        </is>
      </c>
      <c r="K10" s="11" t="inlineStr">
        <is>
          <t>C</t>
        </is>
      </c>
      <c r="L10" s="13" t="n">
        <v>68</v>
      </c>
      <c r="M10" s="11" t="inlineStr">
        <is>
          <t>150 - 180k</t>
        </is>
      </c>
      <c r="N10" s="11" t="n"/>
      <c r="O10" s="11" t="n"/>
      <c r="P10" s="20" t="n"/>
      <c r="Q10" s="20" t="inlineStr">
        <is>
          <t>Self-closed 9/18/26 - no response since applying</t>
        </is>
      </c>
      <c r="R10" s="16" t="inlineStr">
        <is>
          <t>Link</t>
        </is>
      </c>
      <c r="S10" s="11" t="inlineStr">
        <is>
          <t>Executive</t>
        </is>
      </c>
      <c r="T10" s="11" t="inlineStr">
        <is>
          <t>Submitted</t>
        </is>
      </c>
      <c r="U10" s="11" t="inlineStr">
        <is>
          <t>Title fit but weak technical/industrial adjacency. Closed 9/18/26 in pipeline hygiene pass: below fit threshold (68), weak sector adjacency, no response in 32 days.</t>
        </is>
      </c>
    </row>
    <row r="11">
      <c r="A11" s="11" t="inlineStr">
        <is>
          <t>OPP-010</t>
        </is>
      </c>
      <c r="B11" s="11" t="inlineStr">
        <is>
          <t>OpenWorks</t>
        </is>
      </c>
      <c r="C11" s="11" t="inlineStr">
        <is>
          <t>Director of Operations</t>
        </is>
      </c>
      <c r="D11" s="11" t="inlineStr">
        <is>
          <t>Director</t>
        </is>
      </c>
      <c r="E11" s="11" t="inlineStr">
        <is>
          <t>Facility services</t>
        </is>
      </c>
      <c r="F11" s="11" t="inlineStr">
        <is>
          <t>Remote</t>
        </is>
      </c>
      <c r="G11" s="11" t="inlineStr">
        <is>
          <t>Existing search</t>
        </is>
      </c>
      <c r="H11" s="20" t="n">
        <v>46244</v>
      </c>
      <c r="I11" s="20" t="n">
        <v>46244</v>
      </c>
      <c r="J11" s="11" t="inlineStr">
        <is>
          <t>Closed - Lost</t>
        </is>
      </c>
      <c r="K11" s="11" t="inlineStr">
        <is>
          <t>A</t>
        </is>
      </c>
      <c r="L11" s="13" t="n">
        <v>86</v>
      </c>
      <c r="M11" s="11" t="inlineStr">
        <is>
          <t>Not listed</t>
        </is>
      </c>
      <c r="N11" s="11" t="n"/>
      <c r="O11" s="11" t="n"/>
      <c r="P11" s="20" t="n"/>
      <c r="Q11" s="20" t="inlineStr">
        <is>
          <t>Rejection email 9/11/26</t>
        </is>
      </c>
      <c r="R11" s="16" t="inlineStr">
        <is>
          <t>link</t>
        </is>
      </c>
      <c r="S11" s="11" t="inlineStr">
        <is>
          <t>Technical Services</t>
        </is>
      </c>
      <c r="T11" s="11" t="inlineStr">
        <is>
          <t>Submitted</t>
        </is>
      </c>
      <c r="U11" s="11" t="inlineStr">
        <is>
          <t>Facilities-service adjacency and Director-level pattern. Rejected 9/11/26 - boilerplate reason (moving forward with candidates whose experience more closely aligns with current needs).</t>
        </is>
      </c>
    </row>
    <row r="12">
      <c r="A12" s="11" t="inlineStr">
        <is>
          <t>OPP-011</t>
        </is>
      </c>
      <c r="B12" s="24" t="inlineStr">
        <is>
          <t>Zest Technical Solutions</t>
        </is>
      </c>
      <c r="C12" s="24" t="inlineStr">
        <is>
          <t>VP Operations</t>
        </is>
      </c>
      <c r="D12" s="24" t="inlineStr">
        <is>
          <t>VP</t>
        </is>
      </c>
      <c r="E12" s="24" t="inlineStr">
        <is>
          <t>Building automation / mission critical</t>
        </is>
      </c>
      <c r="F12" s="24" t="inlineStr">
        <is>
          <t>United States; remote</t>
        </is>
      </c>
      <c r="G12" s="24" t="inlineStr">
        <is>
          <t>LinkedIn</t>
        </is>
      </c>
      <c r="H12" s="22" t="n">
        <v>46254</v>
      </c>
      <c r="I12" s="27" t="n">
        <v>46254</v>
      </c>
      <c r="J12" s="24" t="inlineStr">
        <is>
          <t>Applied</t>
        </is>
      </c>
      <c r="K12" s="24" t="inlineStr">
        <is>
          <t>A</t>
        </is>
      </c>
      <c r="L12" s="29" t="n">
        <v>96</v>
      </c>
      <c r="M12" s="24" t="inlineStr">
        <is>
          <t>$200K-$300K</t>
        </is>
      </c>
      <c r="N12" s="30" t="n"/>
      <c r="O12" s="30" t="inlineStr">
        <is>
          <t>Passive - assumed dead end (Evan 9/18); no follow-up. Close 10/2 if no inbound contact</t>
        </is>
      </c>
      <c r="P12" s="27" t="n">
        <v>46297</v>
      </c>
      <c r="Q12" s="27" t="n">
        <v>46254</v>
      </c>
      <c r="R12" s="28" t="inlineStr">
        <is>
          <t>link</t>
        </is>
      </c>
      <c r="S12" s="24" t="inlineStr">
        <is>
          <t>Mission-Critical / Technical Services Executive</t>
        </is>
      </c>
      <c r="T12" s="24" t="inlineStr">
        <is>
          <t>No</t>
        </is>
      </c>
      <c r="U12" s="24" t="inlineStr">
        <is>
          <t>Posting age: 2 days. Travel: not stated. Exceptional technical-services, BMS/HVAC/controls, mission-critical, data-center, P&amp;L, service-delivery and acquisition-integration fit. Concern: recruiter-led confidential search and undisclosed travel. Verified active 2026-08-20.</t>
        </is>
      </c>
    </row>
    <row r="13">
      <c r="A13" s="11" t="inlineStr">
        <is>
          <t>OPP-012</t>
        </is>
      </c>
      <c r="B13" s="24" t="inlineStr">
        <is>
          <t>Cobalt Service Partners</t>
        </is>
      </c>
      <c r="C13" s="24" t="inlineStr">
        <is>
          <t>VP Operational Excellence</t>
        </is>
      </c>
      <c r="D13" s="24" t="inlineStr">
        <is>
          <t>VP</t>
        </is>
      </c>
      <c r="E13" s="24" t="inlineStr">
        <is>
          <t>Commercial access/security integration / field service</t>
        </is>
      </c>
      <c r="F13" s="24" t="inlineStr">
        <is>
          <t>Remote US per description; LinkedIn header lists Washington, DC on-site</t>
        </is>
      </c>
      <c r="G13" s="24" t="inlineStr">
        <is>
          <t>LinkedIn</t>
        </is>
      </c>
      <c r="H13" s="22" t="n">
        <v>46254</v>
      </c>
      <c r="I13" s="27" t="n">
        <v>46254</v>
      </c>
      <c r="J13" s="24" t="inlineStr">
        <is>
          <t>Applied</t>
        </is>
      </c>
      <c r="K13" s="24" t="inlineStr">
        <is>
          <t>B</t>
        </is>
      </c>
      <c r="L13" s="29" t="n">
        <v>82</v>
      </c>
      <c r="M13" s="24" t="inlineStr">
        <is>
          <t>$225K–$275K base + bonus; disclosed by hiring leader, not in official posting.</t>
        </is>
      </c>
      <c r="N13" s="30" t="n"/>
      <c r="O13" s="30" t="inlineStr">
        <is>
          <t>Passive - assumed dead end (Evan 9/18); no follow-up. Close 10/2 if no inbound contact</t>
        </is>
      </c>
      <c r="P13" s="27" t="n">
        <v>46297</v>
      </c>
      <c r="Q13" s="27" t="n">
        <v>46254</v>
      </c>
      <c r="R13" s="28" t="inlineStr">
        <is>
          <t>link</t>
        </is>
      </c>
      <c r="S13" s="24" t="inlineStr">
        <is>
          <t>Field Service / P&amp;L Operations Executive</t>
        </is>
      </c>
      <c r="T13" s="24" t="inlineStr">
        <is>
          <t>No</t>
        </is>
      </c>
      <c r="U13" s="24" t="inlineStr">
        <is>
          <t>Posting age: reposted 1 week ago. Travel: not stated. Strong multi-site field service, margin expansion, job costing, technology, M&amp;A integration and PE-platform fit. Concerns: location conflict; compensation and travel undisclosed; PE-backed integration experience preferred. Verified active 2026-08-20.</t>
        </is>
      </c>
    </row>
    <row r="14">
      <c r="A14" s="11" t="inlineStr">
        <is>
          <t>OPP-013</t>
        </is>
      </c>
      <c r="B14" s="24" t="inlineStr">
        <is>
          <t>Wheeler Staffing Partners</t>
        </is>
      </c>
      <c r="C14" s="24" t="inlineStr">
        <is>
          <t>Director, Facilities Management</t>
        </is>
      </c>
      <c r="D14" s="24" t="inlineStr">
        <is>
          <t>Director</t>
        </is>
      </c>
      <c r="E14" s="24" t="inlineStr">
        <is>
          <t>Facilities management / energy infrastructure</t>
        </is>
      </c>
      <c r="F14" s="24" t="inlineStr">
        <is>
          <t>United States; remote; Sacramento/Chicago ties</t>
        </is>
      </c>
      <c r="G14" s="24" t="inlineStr">
        <is>
          <t>LinkedIn</t>
        </is>
      </c>
      <c r="H14" s="22" t="n">
        <v>46254</v>
      </c>
      <c r="I14" s="27" t="n">
        <v>46254</v>
      </c>
      <c r="J14" s="24" t="inlineStr">
        <is>
          <t>Applied</t>
        </is>
      </c>
      <c r="K14" s="24" t="inlineStr">
        <is>
          <t>C</t>
        </is>
      </c>
      <c r="L14" s="29" t="n">
        <v>74</v>
      </c>
      <c r="M14" s="24" t="inlineStr">
        <is>
          <t>$128,546-$171,655 plus discretionary bonus</t>
        </is>
      </c>
      <c r="N14" s="30" t="n"/>
      <c r="O14" s="30" t="inlineStr">
        <is>
          <t>Passive - assumed dead end (Evan 9/18); no follow-up. Close 10/2 if no inbound contact</t>
        </is>
      </c>
      <c r="P14" s="27" t="n">
        <v>46297</v>
      </c>
      <c r="Q14" s="27" t="n">
        <v>46254</v>
      </c>
      <c r="R14" s="28" t="inlineStr">
        <is>
          <t>link</t>
        </is>
      </c>
      <c r="S14" s="24" t="inlineStr">
        <is>
          <t>Multi-Site Facilities / Technical Operations Executive</t>
        </is>
      </c>
      <c r="T14" s="24" t="inlineStr">
        <is>
          <t>No</t>
        </is>
      </c>
      <c r="U14" s="24" t="inlineStr">
        <is>
          <t>Posting age: 1 week. Travel: 50%. Strong multi-site facilities, O&amp;M, energy infrastructure, customer operations, P&amp;L and forecasting fit. Concerns: range begins slightly below minimum and openings have regional ties. Verified active 2026-08-20.</t>
        </is>
      </c>
    </row>
    <row r="15" ht="15.75" customHeight="1" s="34">
      <c r="A15" s="11" t="inlineStr">
        <is>
          <t>OPP-014</t>
        </is>
      </c>
      <c r="B15" s="24" t="inlineStr">
        <is>
          <t>Tesla</t>
        </is>
      </c>
      <c r="C15" s="24" t="inlineStr">
        <is>
          <t>Service Manager</t>
        </is>
      </c>
      <c r="D15" s="30" t="inlineStr">
        <is>
          <t>General Manager</t>
        </is>
      </c>
      <c r="E15" s="24" t="inlineStr">
        <is>
          <t>Technical service / automotive equipment</t>
        </is>
      </c>
      <c r="F15" s="24" t="inlineStr">
        <is>
          <t>Annapolis, MD; on-site</t>
        </is>
      </c>
      <c r="G15" s="24" t="inlineStr">
        <is>
          <t>LinkedIn</t>
        </is>
      </c>
      <c r="H15" s="22" t="n">
        <v>46254</v>
      </c>
      <c r="I15" s="27" t="n">
        <v>46254</v>
      </c>
      <c r="J15" s="24" t="inlineStr">
        <is>
          <t>Closed - Lost</t>
        </is>
      </c>
      <c r="K15" s="24" t="inlineStr">
        <is>
          <t>B</t>
        </is>
      </c>
      <c r="L15" s="29" t="n">
        <v>86</v>
      </c>
      <c r="M15" s="24" t="inlineStr">
        <is>
          <t>$115,200-$172,800 plus cash/stock awards and benefits</t>
        </is>
      </c>
      <c r="N15" s="30" t="n"/>
      <c r="O15" s="30" t="n"/>
      <c r="P15" s="27" t="n"/>
      <c r="Q15" s="27" t="n">
        <v>46257</v>
      </c>
      <c r="R15" s="28" t="inlineStr">
        <is>
          <t>link</t>
        </is>
      </c>
      <c r="S15" s="24" t="inlineStr">
        <is>
          <t>Technical Service / Branch Operations Leader</t>
        </is>
      </c>
      <c r="T15" s="24" t="inlineStr">
        <is>
          <t>No</t>
        </is>
      </c>
      <c r="U15" s="24" t="inlineStr">
        <is>
          <t>Posting age: 1 hour. Travel: not stated; likely local. Excellent location with technical-service, repair, customer-experience, Lean and people-leadership transfer. Proceed only at $130K+ base. Title/scope may be a step down. Role Level left blank because the baseline dropdown has no Service Manager option. Verified active 2026-08-20.</t>
        </is>
      </c>
    </row>
    <row r="16" ht="15.75" customHeight="1" s="34">
      <c r="A16" s="31" t="inlineStr">
        <is>
          <t>OPP-015</t>
        </is>
      </c>
      <c r="B16" s="31" t="inlineStr">
        <is>
          <t>Havtech</t>
        </is>
      </c>
      <c r="C16" s="31" t="inlineStr">
        <is>
          <t>Operational Excellence Leader</t>
        </is>
      </c>
      <c r="D16" s="31" t="n"/>
      <c r="E16" s="31" t="inlineStr">
        <is>
          <t>Commercial HVAC / technical services</t>
        </is>
      </c>
      <c r="F16" s="31" t="inlineStr">
        <is>
          <t>Columbia, MD</t>
        </is>
      </c>
      <c r="G16" s="31" t="inlineStr">
        <is>
          <t>Career page (Claude manual scan)</t>
        </is>
      </c>
      <c r="H16" s="32" t="n">
        <v>46278</v>
      </c>
      <c r="I16" s="32" t="n"/>
      <c r="J16" s="31" t="inlineStr">
        <is>
          <t>Prospect</t>
        </is>
      </c>
      <c r="K16" s="31" t="inlineStr">
        <is>
          <t>B</t>
        </is>
      </c>
      <c r="L16" s="33" t="n">
        <v>75</v>
      </c>
      <c r="M16" s="31" t="inlineStr">
        <is>
          <t>Not listed</t>
        </is>
      </c>
      <c r="N16" s="31" t="n"/>
      <c r="O16" s="31" t="inlineStr">
        <is>
          <t>Evaluate scope fit (no direct reports - lead-through-influence role, not people/P&amp;L leadership) and decide whether to apply</t>
        </is>
      </c>
      <c r="P16" s="32" t="n">
        <v>46281</v>
      </c>
      <c r="Q16" s="32" t="n"/>
      <c r="R16" s="31" t="inlineStr">
        <is>
          <t>https://workforcenow.adp.com/mascsr/default/mdf/recruitment/recruitment.html?cid=8fb411ad-9387-470f-b615-4fddbb07c21e&amp;ccId=19000101_000001&amp;lang=en_US&amp;jobId=541158</t>
        </is>
      </c>
      <c r="S16" s="31" t="inlineStr">
        <is>
          <t>Technical Services</t>
        </is>
      </c>
      <c r="T16" s="31" t="inlineStr">
        <is>
          <t>No</t>
        </is>
      </c>
      <c r="U16" s="31" t="inlineStr">
        <is>
          <t>Newly created role driving Lean Sigma continuous improvement across Service/Supply/Controls/Contracting (~$1.5M annual savings target, 18-24mo rollout). Strong industry adjacency and geography, KPI/SOP language matches Evan's own positioning almost verbatim. Caveat: explicitly no direct supervisory responsibility - "will lead through influence" - a real step down in formal authority from target Director/VP/GM level, same scope-trap pattern flagged in Tesla (OPP-014). Comp not listed. Found via manual AI-assisted scan 2026-09-13 (automation not live yet, pending credential setup).</t>
        </is>
      </c>
    </row>
    <row r="17" ht="15.75" customHeight="1" s="34">
      <c r="A17" s="8" t="inlineStr">
        <is>
          <t>OPP-016</t>
        </is>
      </c>
      <c r="B17" s="8" t="inlineStr">
        <is>
          <t>Mesoscale Diagnostics, LLC (MSD)</t>
        </is>
      </c>
      <c r="C17" s="8" t="inlineStr">
        <is>
          <t>Vice President &amp; General Manager, Life Sciences Contract Research Organization</t>
        </is>
      </c>
      <c r="D17" s="8" t="inlineStr">
        <is>
          <t>General Manager</t>
        </is>
      </c>
      <c r="E17" s="8" t="inlineStr">
        <is>
          <t>Life sciences / contract research organization (CRO)</t>
        </is>
      </c>
      <c r="F17" s="8" t="inlineStr">
        <is>
          <t>Rockville, MD (inferred from MSD HQ - not stated in rejection email, confirm)</t>
        </is>
      </c>
      <c r="G17" s="8" t="n"/>
      <c r="H17" s="7" t="n"/>
      <c r="I17" s="7" t="n"/>
      <c r="J17" s="8" t="inlineStr">
        <is>
          <t>Closed - Lost</t>
        </is>
      </c>
      <c r="K17" s="8" t="n"/>
      <c r="L17" s="9" t="n"/>
      <c r="M17" s="8" t="inlineStr">
        <is>
          <t>Not listed</t>
        </is>
      </c>
      <c r="N17" s="8" t="n"/>
      <c r="O17" s="8" t="n"/>
      <c r="P17" s="7" t="n"/>
      <c r="Q17" s="7" t="inlineStr">
        <is>
          <t>Rejection email 9/14/26</t>
        </is>
      </c>
      <c r="R17" s="8" t="n"/>
      <c r="S17" s="8" t="n"/>
      <c r="T17" s="8" t="n"/>
      <c r="U17" s="8" t="inlineStr">
        <is>
          <t>Rejected 9/14/26 - boilerplate "position has been filled," invited to be considered for other similar openings. Life sciences CRO is an adjacent-industry application given Evan's analytical chemistry/lab background (matches his "laboratory &amp; technical services" target category), not his core industrial/HVAC/environmental lane. Date applied, source, resume version, and fit score at time of application are unknown - only the rejection email is available. Evan: fill in if you want the full record.</t>
        </is>
      </c>
    </row>
    <row r="18" ht="15.75" customHeight="1" s="34">
      <c r="A18" s="8" t="inlineStr">
        <is>
          <t>OPP-017</t>
        </is>
      </c>
      <c r="B18" s="8" t="inlineStr">
        <is>
          <t>Wing (Alphabet drone delivery)</t>
        </is>
      </c>
      <c r="C18" s="8" t="inlineStr">
        <is>
          <t>Head of Business Operations</t>
        </is>
      </c>
      <c r="D18" s="8" t="n"/>
      <c r="E18" s="8" t="inlineStr">
        <is>
          <t>Drone delivery / logistics technology</t>
        </is>
      </c>
      <c r="F18" s="8" t="n"/>
      <c r="G18" s="8" t="n"/>
      <c r="H18" s="7" t="n"/>
      <c r="I18" s="7" t="n"/>
      <c r="J18" s="8" t="inlineStr">
        <is>
          <t>Closed - Lost</t>
        </is>
      </c>
      <c r="K18" s="8" t="n"/>
      <c r="L18" s="9" t="n"/>
      <c r="M18" s="8" t="inlineStr">
        <is>
          <t>Not listed</t>
        </is>
      </c>
      <c r="N18" s="8" t="n"/>
      <c r="O18" s="8" t="n"/>
      <c r="P18" s="7" t="n"/>
      <c r="Q18" s="7" t="inlineStr">
        <is>
          <t>Rejection email 9/17/26 (Joelle DuPlessis, Wing Talent Acquisition)</t>
        </is>
      </c>
      <c r="R18" s="8" t="n"/>
      <c r="S18" s="8" t="n"/>
      <c r="T18" s="8" t="n"/>
      <c r="U18" s="8" t="inlineStr">
        <is>
          <t>Rejected 9/17/26 - boilerplate "officially filled this role," invited to watch Wing Careers as they scale to new metro hubs. Early application from before the target-profile narrowing; outside the core industrial/HVAC/technical-services lane. Date applied, source, location, resume version, and fit score unknown - only the rejection email is available. Not backfilled, same treatment as MSD (OPP-016).</t>
        </is>
      </c>
    </row>
    <row r="19" ht="15.75" customHeight="1" s="34">
      <c r="A19" s="11" t="inlineStr">
        <is>
          <t>OPP-018</t>
        </is>
      </c>
      <c r="B19" s="24" t="inlineStr">
        <is>
          <t>Jet Blast, Inc. (UME Holdings)</t>
        </is>
      </c>
      <c r="C19" s="24" t="inlineStr">
        <is>
          <t>General Manager</t>
        </is>
      </c>
      <c r="D19" s="24" t="inlineStr">
        <is>
          <t>General Manager</t>
        </is>
      </c>
      <c r="E19" s="24" t="inlineStr">
        <is>
          <t>Industrial / municipal cleaning - environmental field services</t>
        </is>
      </c>
      <c r="F19" s="24" t="inlineStr">
        <is>
          <t>Baltimore, MD (6800 Fort Smallwood Rd); on-site</t>
        </is>
      </c>
      <c r="G19" s="24" t="inlineStr">
        <is>
          <t>LinkedIn</t>
        </is>
      </c>
      <c r="H19" s="22" t="n">
        <v>46269</v>
      </c>
      <c r="I19" s="27" t="n">
        <v>46269</v>
      </c>
      <c r="J19" s="24" t="inlineStr">
        <is>
          <t>Applied</t>
        </is>
      </c>
      <c r="K19" s="24" t="inlineStr">
        <is>
          <t>A</t>
        </is>
      </c>
      <c r="L19" s="29" t="n">
        <v>88</v>
      </c>
      <c r="M19" s="24" t="inlineStr">
        <is>
          <t>Not listed</t>
        </is>
      </c>
      <c r="N19" s="30" t="n"/>
      <c r="O19" s="30" t="inlineStr">
        <is>
          <t>Passive - assumed dead end (Evan 9/18); no follow-up. Close 10/2 if no inbound contact</t>
        </is>
      </c>
      <c r="P19" s="27" t="n">
        <v>46297</v>
      </c>
      <c r="Q19" s="27" t="n">
        <v>46269</v>
      </c>
      <c r="R19" s="28" t="inlineStr">
        <is>
          <t>https://www.linkedin.com/jobs/view/4452737103</t>
        </is>
      </c>
      <c r="S19" s="24" t="inlineStr">
        <is>
          <t>Unknown - confirm</t>
        </is>
      </c>
      <c r="T19" s="24" t="inlineStr">
        <is>
          <t>Unknown</t>
        </is>
      </c>
      <c r="U19" s="24" t="inlineStr">
        <is>
          <t>Applied ~9/4/26 (approximate - Evan: "2 weeks ago" as of 9/18). Posting was reposted ~9/11 with no response to Evan, which suggests the first applicant pool did not produce a hire and his application was likely screened out or never reviewed. 76 applicants as of 9/18. Full P&amp;L across multiple sites, 24/7 industrial cleaning (water-jet blasting, industrial vacuum, sewer cleaning), reports directly to the CEO of UME Holdings (Montreal), and would be executive sponsor of an ERP rollout. The first-year mandate is to build the operating system, rebuild the team, and grow the business. It prefers 5-10 years in industrial/environmental/field services, which is his main gap. Comp not listed. Surfaced again in the 9/18 manual scan and scored Fit 88.</t>
        </is>
      </c>
    </row>
    <row r="20" ht="15.75" customHeight="1" s="34">
      <c r="A20" s="8" t="inlineStr">
        <is>
          <t>OPP-019</t>
        </is>
      </c>
      <c r="B20" s="8" t="inlineStr">
        <is>
          <t>LighthouseAI (a Pharma Solutions company)</t>
        </is>
      </c>
      <c r="C20" s="8" t="inlineStr">
        <is>
          <t>Licensing Operations Manager</t>
        </is>
      </c>
      <c r="D20" s="8" t="n"/>
      <c r="E20" s="8" t="inlineStr">
        <is>
          <t>Pharma compliance / licensing software-services</t>
        </is>
      </c>
      <c r="F20" s="8" t="n"/>
      <c r="G20" s="8" t="n"/>
      <c r="H20" s="7" t="n"/>
      <c r="I20" s="7" t="n"/>
      <c r="J20" s="8" t="inlineStr">
        <is>
          <t>Closed - Lost</t>
        </is>
      </c>
      <c r="K20" s="8" t="n"/>
      <c r="L20" s="9" t="n"/>
      <c r="M20" s="8" t="inlineStr">
        <is>
          <t>Not listed</t>
        </is>
      </c>
      <c r="N20" s="8" t="n"/>
      <c r="O20" s="8" t="n"/>
      <c r="P20" s="7" t="n"/>
      <c r="Q20" s="7" t="inlineStr">
        <is>
          <t>Rejection email 9/22/26 (HR, via Rippling ATS)</t>
        </is>
      </c>
      <c r="R20" s="8" t="n"/>
      <c r="S20" s="8" t="n"/>
      <c r="T20" s="8" t="n"/>
      <c r="U20" s="8" t="inlineStr">
        <is>
          <t>Rejected 9/22/26 - boilerplate "other candidates match our requirements more closely." Pharma licensing/compliance operations, an adjacent-industry application off his core industrial/technical-services lane. Title is Manager level, below his Director/VP/GM target, so a weak-fit application regardless of outcome. Date applied, source, location, resume version, and fit score unknown - only the rejection email is available. Not backfilled, same treatment as MSD (016) and Wing (017).</t>
        </is>
      </c>
    </row>
    <row r="21" ht="15.75" customHeight="1" s="34">
      <c r="A21" s="8" t="inlineStr">
        <is>
          <t>OPP-020</t>
        </is>
      </c>
      <c r="B21" s="8" t="inlineStr">
        <is>
          <t>Legence</t>
        </is>
      </c>
      <c r="C21" s="8" t="inlineStr">
        <is>
          <t>Director of Operations, Installation &amp; Maintenance (req 3749)</t>
        </is>
      </c>
      <c r="D21" s="8" t="inlineStr">
        <is>
          <t>Director</t>
        </is>
      </c>
      <c r="E21" s="8" t="inlineStr">
        <is>
          <t>Mechanical / energy services (Legence family)</t>
        </is>
      </c>
      <c r="F21" s="8" t="n"/>
      <c r="G21" s="8" t="n"/>
      <c r="H21" s="7" t="n"/>
      <c r="I21" s="7" t="n"/>
      <c r="J21" s="8" t="inlineStr">
        <is>
          <t>Closed - Lost</t>
        </is>
      </c>
      <c r="K21" s="8" t="n"/>
      <c r="L21" s="9" t="n"/>
      <c r="M21" s="8" t="inlineStr">
        <is>
          <t>Not listed</t>
        </is>
      </c>
      <c r="N21" s="8" t="n"/>
      <c r="O21" s="8" t="n"/>
      <c r="P21" s="7" t="n"/>
      <c r="Q21" s="7" t="inlineStr">
        <is>
          <t>Rejection email 9/25/26 (Legence Talent Acquisition, via Dayforce)</t>
        </is>
      </c>
      <c r="R21" s="8" t="n"/>
      <c r="S21" s="8" t="n"/>
      <c r="T21" s="8" t="n"/>
      <c r="U21" s="8" t="inlineStr">
        <is>
          <t>Rejected 9/25/26 - boilerplate "other candidates whose qualifications more closely match our current needs," invited to watch their career page. Right level and right industry family, so this is a real data point rather than a weak-fit application. IMPORTANT: Legence owns W.E. Bowers (Beltsville MD commercial HVAC), whose "Commercial Service Manager" opening surfaced in the 9/18 manual scan - treat the whole Legence family as screened for now. Location, date applied, source, resume version, and fit score unknown - only the rejection email is available.</t>
        </is>
      </c>
    </row>
    <row r="22" ht="15.75" customHeight="1" s="34">
      <c r="A22" s="11" t="inlineStr">
        <is>
          <t>OPP-021</t>
        </is>
      </c>
      <c r="B22" s="24" t="inlineStr">
        <is>
          <t>WillScot</t>
        </is>
      </c>
      <c r="C22" s="24" t="inlineStr">
        <is>
          <t>Director, General Manager</t>
        </is>
      </c>
      <c r="D22" s="24" t="inlineStr">
        <is>
          <t>General Manager</t>
        </is>
      </c>
      <c r="E22" s="24" t="inlineStr">
        <is>
          <t>Modular space / storage equipment leasing - branch service network</t>
        </is>
      </c>
      <c r="F22" s="24" t="inlineStr">
        <is>
          <t>Harmans, MD 21077; on-site (~25 min from Edgewater)</t>
        </is>
      </c>
      <c r="G22" s="24" t="inlineStr">
        <is>
          <t>Claude manual scan 9/29 (company ATS)</t>
        </is>
      </c>
      <c r="H22" s="22" t="n">
        <v>46294</v>
      </c>
      <c r="I22" s="27" t="n"/>
      <c r="J22" s="24" t="inlineStr">
        <is>
          <t>Prospect</t>
        </is>
      </c>
      <c r="K22" s="24" t="inlineStr">
        <is>
          <t>A</t>
        </is>
      </c>
      <c r="L22" s="29" t="n">
        <v>90</v>
      </c>
      <c r="M22" s="24" t="inlineStr">
        <is>
          <t>$168,100-$235,300 base + 25% travel</t>
        </is>
      </c>
      <c r="N22" s="30" t="n"/>
      <c r="O22" s="30" t="inlineStr">
        <is>
          <t>Apply via WillScot ATS this week, then same-day LinkedIn note to the Harmans-area VP, General Manager named as the reporting line</t>
        </is>
      </c>
      <c r="P22" s="27" t="n">
        <v>46297</v>
      </c>
      <c r="Q22" s="27" t="n"/>
      <c r="R22" s="28" t="inlineStr">
        <is>
          <t>https://careers.willscot.com/job/Harmans-WS-Dir%2C-General-Manager-MD-21077/1433598700/</t>
        </is>
      </c>
      <c r="S22" s="24" t="inlineStr">
        <is>
          <t>Technical Services (commercial/P&amp;L emphasis - see Outreach doc)</t>
        </is>
      </c>
      <c r="T22" s="24" t="inlineStr">
        <is>
          <t>Draft 9/29</t>
        </is>
      </c>
      <c r="U22" s="24" t="inlineStr">
        <is>
          <t>Posted 9/24/26, found 9/29 while still ~5 days old. $25M-$60M P&amp;L across multiple branches/MSAs; direct reports are branch operations managers, field service managers, field sales and customer service; reports to a VP, General Manager. Requires 8+ years progressively responsible business-unit management; $5M+ P&amp;L preferred; rental/leasing and branch-network experience PREFERRED, NOT REQUIRED - which is why reception odds are good for a career-changer. Comp well above target. Risk: the GM carries revenue and sales-team accountability, so the pitch must lead with commercial P&amp;L ownership (30% sales increase / 40% cost reduction in four months) rather than SOP/KPI building alone. Way in: company SAP/SuccessFactors ATS rather than LinkedIn Easy Apply, and the posting discloses the reporting line for direct outreach. Best opening produced by either the 9/18 or 9/29 scan.</t>
        </is>
      </c>
    </row>
    <row r="23" ht="15.75" customHeight="1" s="34">
      <c r="A23" s="11" t="inlineStr">
        <is>
          <t>OPP-022</t>
        </is>
      </c>
      <c r="B23" s="24" t="inlineStr">
        <is>
          <t>Microbac Laboratories</t>
        </is>
      </c>
      <c r="C23" s="24" t="inlineStr">
        <is>
          <t>Regional Laboratory Operations Director, Mid-Atlantic (req 2196)</t>
        </is>
      </c>
      <c r="D23" s="24" t="inlineStr">
        <is>
          <t>Director</t>
        </is>
      </c>
      <c r="E23" s="24" t="inlineStr">
        <is>
          <t>Commercial testing laboratories (PE-backed roll-up)</t>
        </is>
      </c>
      <c r="F23" s="24" t="inlineStr">
        <is>
          <t>Baltimore, MD (Holabird Park, 2101 Van Deman St); 50% travel</t>
        </is>
      </c>
      <c r="G23" s="24" t="inlineStr">
        <is>
          <t>Claude manual scan 9/29 (LinkedIn)</t>
        </is>
      </c>
      <c r="H23" s="22" t="n">
        <v>46294</v>
      </c>
      <c r="I23" s="27" t="n">
        <v>46295</v>
      </c>
      <c r="J23" s="24" t="inlineStr">
        <is>
          <t>Interviewing</t>
        </is>
      </c>
      <c r="K23" s="24" t="inlineStr">
        <is>
          <t>A</t>
        </is>
      </c>
      <c r="L23" s="29" t="n">
        <v>80</v>
      </c>
      <c r="M23" s="24" t="inlineStr">
        <is>
          <t>$90,000-$120,000 (targeting $120,000)</t>
        </is>
      </c>
      <c r="N23" s="30" t="inlineStr">
        <is>
          <t>Cory Koons (intel only). HR contact: Kelly Schaeffer, Director of HR, kelly.schaeffer@microbac.com, 412.459.1060 o / 412.913.6772 m</t>
        </is>
      </c>
      <c r="O23" s="30" t="inlineStr">
        <is>
          <t>Awaiting final-round scheduling (Kelly back 10/26). Prep for Grayson Boyce underway. Follow up with Kelly 10/28 if no contact.</t>
        </is>
      </c>
      <c r="P23" s="27" t="n">
        <v>46323</v>
      </c>
      <c r="Q23" s="27" t="n">
        <v>46315</v>
      </c>
      <c r="R23" s="28" t="inlineStr">
        <is>
          <t>https://workforcenow.adp.com/mascsr/default/mdf/recruitment/recruitment.html?cid=edbc1146-911e-417e-b53e-c0e2f7d2a0e9&amp;ccId=19000101_000001&amp;jobId=592355&amp;lang=en_US</t>
        </is>
      </c>
      <c r="S23" s="24" t="inlineStr">
        <is>
          <t>Laboratory Operations Executive (built for this role)</t>
        </is>
      </c>
      <c r="T23" s="24" t="inlineStr">
        <is>
          <t>Submitted 9/30</t>
        </is>
      </c>
      <c r="U23" s="24" t="inlineStr">
        <is>
          <t>Posted ~9/22/26, fewer than 25 applicants as of 9/29. P&amp;L for multiple accredited labs - annual profit plans, monthly tracking and roll-up - reporting directly to the COO. CORRECTION 9/29 (verified): Microbac is NOT PE-backed - it is privately held and family-run since 1969, HQ Pittsburgh (Trevor Boyce Chairman/CEO, Grayson Boyce President, Chris Long COO). It is actively acquiring labs (Mosaic Diagnostics 2025, Geoanalytical, GPL), so acquisition integration is a live need. BEST RECEPTION MATCH in either scan: analytical chemistry + lab operations + accreditation + multi-site standardization is literally his resume. Evan chose to pursue it on reception grounds despite comp (9/29). Comp is the problem: $110-130k tops out below his ~$140k line and under the Carter Machinery precedent (there the top of the range reached his floor); 50% travel is heavy. Posting asks for 10 years commercial laboratory experience, which is the one reception wobble. Approach the COO before applying. Raised to Priority A 9/29 at Evan's direction: "something I could start tomorrow and excel," and he was thinking about hexavalent chromium unprompted that morning. Reception and genuine interest both point here, unlike every other row where he has to argue that operating skill transfers. Materials drafted at Outreach/2026-09-29_Microbac_Regional_Lab_Ops_Director.md. Comp remains the real risk: $130k top of range is roughly $30k below his $120k-after-tax floor, and unlike Carter Machinery the top of the range does not reach it. RETARGETED 9/30/26: Evan chose the Mid-Atlantic requisition (2196, Baltimore-anchored, open 30+ days, $90-120k) over the Northeast one (LinkedIn 4467864999, $110-130k, one week old, Baltimore or Dayville CT) because it is Baltimore-based with no pull toward Connecticut - 25 minutes from home. Targeting $120k, the top of band; his prior base was ~$129k, so this is a modest step back in base offset by geography, scope and continuing Stellar income. Both reqs report to COO Chris Long, which means Microbac is installing regional ownership across its whole eastern footprint at once, and that Long has failed to close this seat for a month - the reason direct outreach matters here. Open question to resolve first: which laboratories are in the Mid-Atlantic and how it divides from the Northeast (Baltimore and Richmond currently sit in the Pittsburgh Division under Erica Kozen). Posting also requires a pre-employment drug test. Full packet at Applications\2026-09-30 Microbac - Regional Lab Ops Director (Mid-Atlantic)\. SUBMITTED 9/30/26 via the Microbac ADP portal, requisition 2196, confirmed on the My Applications page. Sent the purpose-built Laboratory Operations Executive resume plus a tailored cover letter; desired salary stated as $120,000 in both fields; protected veteran status self-identified. Free-text question used to state the scarce profile (lab background plus P&amp;L ownership), local geography, and the regional standardization pitch. Application address is Churchton MD; geography claims were corrected pre-submission from a "25 minutes to Baltimore" figure that was not accurate from there. 9/30 PM: asked Cory Koons (close contact, mutual LinkedIn connection with Chris Long) for intelligence on Long and, if he is comfortable, a word that the application is worth a look. Holding the cold note to Long for a few days so a warm introduction can land first. CORY REPLY 9/30 (market intel, client-side view - his firm uses Microbac as a subcontractor): he has spoken with Chris Long maybe once, so no warm introduction is available. Substantively: Microbac "has struggled with staff turnover and to some extent client relations for the past few years," and "they did the consolidation thing and the hub and spoke model and it hurt their responsiveness in some areas." This independently corroborates the PFAS hub finding (all PFAS work ships to Marietta OH) and names the exact chain Evan fixes: turnover destroys certified-method capacity, which destroys turnaround, which destroys client relations. His record maps onto all three (12 departures/yr to 4; TAT 5 days to 3). Use it only as diagnostic questions, never as an assertion about their problems. 10/1: emailed COO Chris Long directly at chris.long@microbac.com. LinkedIn required her email to verify a connection request and capped the note at 200 characters, so email was the better channel - same address needed either way, no cap, no personalized invite spent on a guess. The email leads with a decade running analytical microbiology operations, described as the bench the Baltimore scope is built on (that site is accredited for biological testing plus environmental lead), carries the Green Analytics numbers and the LIMS, offers Margaret Crouse as the microbiology reference unprompted, and closes on Microbac being one of the few independent networks left - independence that only holds if the operations hold. Also followed her on LinkedIn. SCREEN SCHEDULED: Kelly Schaeffer (Director of Human Resources, Cranberry Township PA) wrote 10/2 - the day after the direct email to COO Chris Long - to set up a Teams meeting. Confirmed for Tuesday 10/13 at 1:00 PM. Her background: Penn State labor and industrial relations, Director of HR at Premier Medical Associates 2012-2023, joined Microbac March 2024. The strongest card with an HR director is the retention record - 12 departures a year down to 4, delivered through a competency-based job leveling framework built in partnership with Regional HR, with departures changing character from firings and rage-quits to people leaving for better jobs or school. Prep doc: "NOTES - HR screen, Kelly Schaeffer 10-13.md". 10/7 prep complete: nine interview answers rehearsed and scripted (background, current employment, why he left plus the probe, comp and travel, the retention story, termination, quality versus deadline, tenured technical leaders, and his own questions). Consistency work done: ADP profile corrected so the Green Analytics director seat ends 10/2025 with a separate consulting entry, Stellar added, skills list cleaned; LinkedIn reconciled against the submitted resume; Margaret Crouse told she was named to Chris Long. INTERVIEWS COMPLETE (week of 10/13): screen with Kelly Schaeffer (Director of HR) and the conversation with COO Chris Long both went excellent per Evan. Final round expected the week of 10/19, likely with President Grayson Boyce. Stage moved to Interviewing. 10/20: emailed Kelly offering availability for the final conversation; auto-reply says she is on PTO until Monday 10/26, with HRQ@microbac.com for urgent issues (not used - a five-day delay is not urgent and a shared HR inbox cannot schedule the president). Sending Chris Long the 90-day plan instead, which keeps momentum with the decision-maker, notes where the ball is without asking her to chase it, and gives her something to forward to Grayson Boyce. 10/20: sent Chris Long a follow-up to the 10/15 interview with the Baltimore 90-day plan attached, including the collaboration framing (gap analysis built with her, close at the front end then independent between decision points) and a hook on their acquisition model - small labs bought from retiring sole proprietors with no succession, taken as-is, then integrated. Em dashes stripped from the resume, cover letter and plan at his request before sending.</t>
        </is>
      </c>
    </row>
    <row r="24" ht="15.75" customHeight="1" s="34">
      <c r="A24" s="8" t="inlineStr">
        <is>
          <t>OPP-023</t>
        </is>
      </c>
      <c r="B24" s="8" t="inlineStr">
        <is>
          <t>DoorDash</t>
        </is>
      </c>
      <c r="C24" s="8" t="inlineStr">
        <is>
          <t>Director, Strategy &amp; Operations - New Business</t>
        </is>
      </c>
      <c r="D24" s="8" t="inlineStr">
        <is>
          <t>Director</t>
        </is>
      </c>
      <c r="E24" s="8" t="inlineStr">
        <is>
          <t>Technology / delivery marketplace</t>
        </is>
      </c>
      <c r="F24" s="8" t="n"/>
      <c r="G24" s="8" t="n"/>
      <c r="H24" s="7" t="n"/>
      <c r="I24" s="7" t="n"/>
      <c r="J24" s="8" t="inlineStr">
        <is>
          <t>Closed - Lost</t>
        </is>
      </c>
      <c r="K24" s="8" t="n"/>
      <c r="L24" s="9" t="n"/>
      <c r="M24" s="8" t="inlineStr">
        <is>
          <t>Not listed</t>
        </is>
      </c>
      <c r="N24" s="8" t="n"/>
      <c r="O24" s="8" t="n"/>
      <c r="P24" s="7" t="n"/>
      <c r="Q24" s="7" t="inlineStr">
        <is>
          <t>Rejection email 10/12/26 (Greenhouse, DoorDash Recruiting)</t>
        </is>
      </c>
      <c r="R24" s="8" t="n"/>
      <c r="S24" s="8" t="n"/>
      <c r="T24" s="8" t="n"/>
      <c r="U24" s="8" t="inlineStr">
        <is>
          <t>Closed 10/12/26 - "no longer hiring for this opportunity," i.e. the requisition was pulled rather than a candidate decision. Early pre-narrowing application well outside the core laboratory and technical-services lane. Date applied, source, resume version and fit score unknown; only the rejection email is available. Not backfilled, same treatment as MSD (016), Wing (017) and LighthouseAI (019).</t>
        </is>
      </c>
    </row>
    <row r="25" ht="15.75" customHeight="1" s="34">
      <c r="A25" s="8" t="n"/>
      <c r="B25" s="8" t="n"/>
      <c r="C25" s="8" t="n"/>
      <c r="D25" s="8" t="n"/>
      <c r="E25" s="8" t="n"/>
      <c r="F25" s="8" t="n"/>
      <c r="G25" s="8" t="n"/>
      <c r="H25" s="7" t="n"/>
      <c r="I25" s="7" t="n"/>
      <c r="J25" s="8" t="n"/>
      <c r="K25" s="8" t="n"/>
      <c r="L25" s="9" t="n"/>
      <c r="M25" s="8" t="n"/>
      <c r="N25" s="8" t="n"/>
      <c r="O25" s="8" t="n"/>
      <c r="P25" s="7" t="n"/>
      <c r="Q25" s="7" t="n"/>
      <c r="R25" s="8" t="n"/>
      <c r="S25" s="8" t="n"/>
      <c r="T25" s="8" t="n"/>
      <c r="U25" s="8" t="n"/>
    </row>
    <row r="26" ht="15.75" customHeight="1" s="34">
      <c r="A26" s="8" t="n"/>
      <c r="B26" s="8" t="n"/>
      <c r="C26" s="8" t="n"/>
      <c r="D26" s="8" t="n"/>
      <c r="E26" s="8" t="n"/>
      <c r="F26" s="8" t="n"/>
      <c r="G26" s="8" t="n"/>
      <c r="H26" s="7" t="n"/>
      <c r="I26" s="7" t="n"/>
      <c r="J26" s="8" t="n"/>
      <c r="K26" s="8" t="n"/>
      <c r="L26" s="9" t="n"/>
      <c r="M26" s="8" t="n"/>
      <c r="N26" s="8" t="n"/>
      <c r="O26" s="8" t="n"/>
      <c r="P26" s="7" t="n"/>
      <c r="Q26" s="7" t="n"/>
      <c r="R26" s="8" t="n"/>
      <c r="S26" s="8" t="n"/>
      <c r="T26" s="8" t="n"/>
      <c r="U26" s="8" t="n"/>
    </row>
    <row r="27" ht="15.75" customHeight="1" s="34">
      <c r="A27" s="8" t="n"/>
      <c r="B27" s="8" t="n"/>
      <c r="C27" s="8" t="n"/>
      <c r="D27" s="8" t="n"/>
      <c r="E27" s="8" t="n"/>
      <c r="F27" s="8" t="n"/>
      <c r="G27" s="8" t="n"/>
      <c r="H27" s="7" t="n"/>
      <c r="I27" s="7" t="n"/>
      <c r="J27" s="8" t="n"/>
      <c r="K27" s="8" t="n"/>
      <c r="L27" s="9" t="n"/>
      <c r="M27" s="8" t="n"/>
      <c r="N27" s="8" t="n"/>
      <c r="O27" s="8" t="n"/>
      <c r="P27" s="7" t="n"/>
      <c r="Q27" s="7" t="n"/>
      <c r="R27" s="8" t="n"/>
      <c r="S27" s="8" t="n"/>
      <c r="T27" s="8" t="n"/>
      <c r="U27" s="8" t="n"/>
    </row>
    <row r="28" ht="15.75" customHeight="1" s="34">
      <c r="A28" s="8" t="n"/>
      <c r="B28" s="8" t="n"/>
      <c r="C28" s="8" t="n"/>
      <c r="D28" s="8" t="n"/>
      <c r="E28" s="8" t="n"/>
      <c r="F28" s="8" t="n"/>
      <c r="G28" s="8" t="n"/>
      <c r="H28" s="7" t="n"/>
      <c r="I28" s="7" t="n"/>
      <c r="J28" s="8" t="n"/>
      <c r="K28" s="8" t="n"/>
      <c r="L28" s="9" t="n"/>
      <c r="M28" s="8" t="n"/>
      <c r="N28" s="8" t="n"/>
      <c r="O28" s="8" t="n"/>
      <c r="P28" s="7" t="n"/>
      <c r="Q28" s="7" t="n"/>
      <c r="R28" s="8" t="n"/>
      <c r="S28" s="8" t="n"/>
      <c r="T28" s="8" t="n"/>
      <c r="U28" s="8" t="n"/>
    </row>
    <row r="29" ht="15.75" customHeight="1" s="34">
      <c r="A29" s="8" t="n"/>
      <c r="B29" s="8" t="n"/>
      <c r="C29" s="8" t="n"/>
      <c r="D29" s="8" t="n"/>
      <c r="E29" s="8" t="n"/>
      <c r="F29" s="8" t="n"/>
      <c r="G29" s="8" t="n"/>
      <c r="H29" s="7" t="n"/>
      <c r="I29" s="7" t="n"/>
      <c r="J29" s="8" t="n"/>
      <c r="K29" s="8" t="n"/>
      <c r="L29" s="9" t="n"/>
      <c r="M29" s="8" t="n"/>
      <c r="N29" s="8" t="n"/>
      <c r="O29" s="8" t="n"/>
      <c r="P29" s="7" t="n"/>
      <c r="Q29" s="7" t="n"/>
      <c r="R29" s="8" t="n"/>
      <c r="S29" s="8" t="n"/>
      <c r="T29" s="8" t="n"/>
      <c r="U29" s="8" t="n"/>
    </row>
    <row r="30" ht="15.75" customHeight="1" s="34">
      <c r="A30" s="8" t="n"/>
      <c r="B30" s="8" t="n"/>
      <c r="C30" s="8" t="n"/>
      <c r="D30" s="8" t="n"/>
      <c r="E30" s="8" t="n"/>
      <c r="F30" s="8" t="n"/>
      <c r="G30" s="8" t="n"/>
      <c r="H30" s="7" t="n"/>
      <c r="I30" s="7" t="n"/>
      <c r="J30" s="8" t="n"/>
      <c r="K30" s="8" t="n"/>
      <c r="L30" s="9" t="n"/>
      <c r="M30" s="8" t="n"/>
      <c r="N30" s="8" t="n"/>
      <c r="O30" s="8" t="n"/>
      <c r="P30" s="7" t="n"/>
      <c r="Q30" s="7" t="n"/>
      <c r="R30" s="8" t="n"/>
      <c r="S30" s="8" t="n"/>
      <c r="T30" s="8" t="n"/>
      <c r="U30" s="8" t="n"/>
    </row>
    <row r="31" ht="15.75" customHeight="1" s="34">
      <c r="A31" s="8" t="n"/>
      <c r="B31" s="8" t="n"/>
      <c r="C31" s="8" t="n"/>
      <c r="D31" s="8" t="n"/>
      <c r="E31" s="8" t="n"/>
      <c r="F31" s="8" t="n"/>
      <c r="G31" s="8" t="n"/>
      <c r="H31" s="7" t="n"/>
      <c r="I31" s="7" t="n"/>
      <c r="J31" s="8" t="n"/>
      <c r="K31" s="8" t="n"/>
      <c r="L31" s="9" t="n"/>
      <c r="M31" s="8" t="n"/>
      <c r="N31" s="8" t="n"/>
      <c r="O31" s="8" t="n"/>
      <c r="P31" s="7" t="n"/>
      <c r="Q31" s="7" t="n"/>
      <c r="R31" s="8" t="n"/>
      <c r="S31" s="8" t="n"/>
      <c r="T31" s="8" t="n"/>
      <c r="U31" s="8" t="n"/>
    </row>
    <row r="32" ht="15.75" customHeight="1" s="34">
      <c r="A32" s="8" t="n"/>
      <c r="B32" s="8" t="n"/>
      <c r="C32" s="8" t="n"/>
      <c r="D32" s="8" t="n"/>
      <c r="E32" s="8" t="n"/>
      <c r="F32" s="8" t="n"/>
      <c r="G32" s="8" t="n"/>
      <c r="H32" s="7" t="n"/>
      <c r="I32" s="7" t="n"/>
      <c r="J32" s="8" t="n"/>
      <c r="K32" s="8" t="n"/>
      <c r="L32" s="9" t="n"/>
      <c r="M32" s="8" t="n"/>
      <c r="N32" s="8" t="n"/>
      <c r="O32" s="8" t="n"/>
      <c r="P32" s="7" t="n"/>
      <c r="Q32" s="7" t="n"/>
      <c r="R32" s="8" t="n"/>
      <c r="S32" s="8" t="n"/>
      <c r="T32" s="8" t="n"/>
      <c r="U32" s="8" t="n"/>
    </row>
    <row r="33" ht="15.75" customHeight="1" s="34">
      <c r="A33" s="8" t="n"/>
      <c r="B33" s="8" t="n"/>
      <c r="C33" s="8" t="n"/>
      <c r="D33" s="8" t="n"/>
      <c r="E33" s="8" t="n"/>
      <c r="F33" s="8" t="n"/>
      <c r="G33" s="8" t="n"/>
      <c r="H33" s="7" t="n"/>
      <c r="I33" s="7" t="n"/>
      <c r="J33" s="8" t="n"/>
      <c r="K33" s="8" t="n"/>
      <c r="L33" s="9" t="n"/>
      <c r="M33" s="8" t="n"/>
      <c r="N33" s="8" t="n"/>
      <c r="O33" s="8" t="n"/>
      <c r="P33" s="7" t="n"/>
      <c r="Q33" s="7" t="n"/>
      <c r="R33" s="8" t="n"/>
      <c r="S33" s="8" t="n"/>
      <c r="T33" s="8" t="n"/>
      <c r="U33" s="8" t="n"/>
    </row>
    <row r="34" ht="15.75" customHeight="1" s="34">
      <c r="A34" s="8" t="n"/>
      <c r="B34" s="8" t="n"/>
      <c r="C34" s="8" t="n"/>
      <c r="D34" s="8" t="n"/>
      <c r="E34" s="8" t="n"/>
      <c r="F34" s="8" t="n"/>
      <c r="G34" s="8" t="n"/>
      <c r="H34" s="7" t="n"/>
      <c r="I34" s="7" t="n"/>
      <c r="J34" s="8" t="n"/>
      <c r="K34" s="8" t="n"/>
      <c r="L34" s="9" t="n"/>
      <c r="M34" s="8" t="n"/>
      <c r="N34" s="8" t="n"/>
      <c r="O34" s="8" t="n"/>
      <c r="P34" s="7" t="n"/>
      <c r="Q34" s="7" t="n"/>
      <c r="R34" s="8" t="n"/>
      <c r="S34" s="8" t="n"/>
      <c r="T34" s="8" t="n"/>
      <c r="U34" s="8" t="n"/>
    </row>
    <row r="35" ht="15.75" customHeight="1" s="34">
      <c r="A35" s="8" t="n"/>
      <c r="B35" s="8" t="n"/>
      <c r="C35" s="8" t="n"/>
      <c r="D35" s="8" t="n"/>
      <c r="E35" s="8" t="n"/>
      <c r="F35" s="8" t="n"/>
      <c r="G35" s="8" t="n"/>
      <c r="H35" s="7" t="n"/>
      <c r="I35" s="7" t="n"/>
      <c r="J35" s="8" t="n"/>
      <c r="K35" s="8" t="n"/>
      <c r="L35" s="9" t="n"/>
      <c r="M35" s="8" t="n"/>
      <c r="N35" s="8" t="n"/>
      <c r="O35" s="8" t="n"/>
      <c r="P35" s="7" t="n"/>
      <c r="Q35" s="7" t="n"/>
      <c r="R35" s="8" t="n"/>
      <c r="S35" s="8" t="n"/>
      <c r="T35" s="8" t="n"/>
      <c r="U35" s="8" t="n"/>
    </row>
    <row r="36" ht="15.75" customHeight="1" s="34">
      <c r="A36" s="8" t="n"/>
      <c r="B36" s="8" t="n"/>
      <c r="C36" s="8" t="n"/>
      <c r="D36" s="8" t="n"/>
      <c r="E36" s="8" t="n"/>
      <c r="F36" s="8" t="n"/>
      <c r="G36" s="8" t="n"/>
      <c r="H36" s="7" t="n"/>
      <c r="I36" s="7" t="n"/>
      <c r="J36" s="8" t="n"/>
      <c r="K36" s="8" t="n"/>
      <c r="L36" s="9" t="n"/>
      <c r="M36" s="8" t="n"/>
      <c r="N36" s="8" t="n"/>
      <c r="O36" s="8" t="n"/>
      <c r="P36" s="7" t="n"/>
      <c r="Q36" s="7" t="n"/>
      <c r="R36" s="8" t="n"/>
      <c r="S36" s="8" t="n"/>
      <c r="T36" s="8" t="n"/>
      <c r="U36" s="8" t="n"/>
    </row>
    <row r="37" ht="15.75" customHeight="1" s="34">
      <c r="A37" s="8" t="n"/>
      <c r="B37" s="8" t="n"/>
      <c r="C37" s="8" t="n"/>
      <c r="D37" s="8" t="n"/>
      <c r="E37" s="8" t="n"/>
      <c r="F37" s="8" t="n"/>
      <c r="G37" s="8" t="n"/>
      <c r="H37" s="7" t="n"/>
      <c r="I37" s="7" t="n"/>
      <c r="J37" s="8" t="n"/>
      <c r="K37" s="8" t="n"/>
      <c r="L37" s="9" t="n"/>
      <c r="M37" s="8" t="n"/>
      <c r="N37" s="8" t="n"/>
      <c r="O37" s="8" t="n"/>
      <c r="P37" s="7" t="n"/>
      <c r="Q37" s="7" t="n"/>
      <c r="R37" s="8" t="n"/>
      <c r="S37" s="8" t="n"/>
      <c r="T37" s="8" t="n"/>
      <c r="U37" s="8" t="n"/>
    </row>
    <row r="38" ht="15.75" customHeight="1" s="34">
      <c r="A38" s="8" t="n"/>
      <c r="B38" s="8" t="n"/>
      <c r="C38" s="8" t="n"/>
      <c r="D38" s="8" t="n"/>
      <c r="E38" s="8" t="n"/>
      <c r="F38" s="8" t="n"/>
      <c r="G38" s="8" t="n"/>
      <c r="H38" s="7" t="n"/>
      <c r="I38" s="7" t="n"/>
      <c r="J38" s="8" t="n"/>
      <c r="K38" s="8" t="n"/>
      <c r="L38" s="9" t="n"/>
      <c r="M38" s="8" t="n"/>
      <c r="N38" s="8" t="n"/>
      <c r="O38" s="8" t="n"/>
      <c r="P38" s="7" t="n"/>
      <c r="Q38" s="7" t="n"/>
      <c r="R38" s="8" t="n"/>
      <c r="S38" s="8" t="n"/>
      <c r="T38" s="8" t="n"/>
      <c r="U38" s="8" t="n"/>
    </row>
    <row r="39" ht="15.75" customHeight="1" s="34">
      <c r="A39" s="8" t="n"/>
      <c r="B39" s="8" t="n"/>
      <c r="C39" s="8" t="n"/>
      <c r="D39" s="8" t="n"/>
      <c r="E39" s="8" t="n"/>
      <c r="F39" s="8" t="n"/>
      <c r="G39" s="8" t="n"/>
      <c r="H39" s="7" t="n"/>
      <c r="I39" s="7" t="n"/>
      <c r="J39" s="8" t="n"/>
      <c r="K39" s="8" t="n"/>
      <c r="L39" s="9" t="n"/>
      <c r="M39" s="8" t="n"/>
      <c r="N39" s="8" t="n"/>
      <c r="O39" s="8" t="n"/>
      <c r="P39" s="7" t="n"/>
      <c r="Q39" s="7" t="n"/>
      <c r="R39" s="8" t="n"/>
      <c r="S39" s="8" t="n"/>
      <c r="T39" s="8" t="n"/>
      <c r="U39" s="8" t="n"/>
    </row>
    <row r="40" ht="15.75" customHeight="1" s="34">
      <c r="A40" s="8" t="n"/>
      <c r="B40" s="8" t="n"/>
      <c r="C40" s="8" t="n"/>
      <c r="D40" s="8" t="n"/>
      <c r="E40" s="8" t="n"/>
      <c r="F40" s="8" t="n"/>
      <c r="G40" s="8" t="n"/>
      <c r="H40" s="7" t="n"/>
      <c r="I40" s="7" t="n"/>
      <c r="J40" s="8" t="n"/>
      <c r="K40" s="8" t="n"/>
      <c r="L40" s="9" t="n"/>
      <c r="M40" s="8" t="n"/>
      <c r="N40" s="8" t="n"/>
      <c r="O40" s="8" t="n"/>
      <c r="P40" s="7" t="n"/>
      <c r="Q40" s="7" t="n"/>
      <c r="R40" s="8" t="n"/>
      <c r="S40" s="8" t="n"/>
      <c r="T40" s="8" t="n"/>
      <c r="U40" s="8" t="n"/>
    </row>
    <row r="41" ht="15.75" customHeight="1" s="34">
      <c r="A41" s="8" t="n"/>
      <c r="B41" s="8" t="n"/>
      <c r="C41" s="8" t="n"/>
      <c r="D41" s="8" t="n"/>
      <c r="E41" s="8" t="n"/>
      <c r="F41" s="8" t="n"/>
      <c r="G41" s="8" t="n"/>
      <c r="H41" s="7" t="n"/>
      <c r="I41" s="7" t="n"/>
      <c r="J41" s="8" t="n"/>
      <c r="K41" s="8" t="n"/>
      <c r="L41" s="9" t="n"/>
      <c r="M41" s="8" t="n"/>
      <c r="N41" s="8" t="n"/>
      <c r="O41" s="8" t="n"/>
      <c r="P41" s="7" t="n"/>
      <c r="Q41" s="7" t="n"/>
      <c r="R41" s="8" t="n"/>
      <c r="S41" s="8" t="n"/>
      <c r="T41" s="8" t="n"/>
      <c r="U41" s="8" t="n"/>
    </row>
    <row r="42" ht="15.75" customHeight="1" s="34">
      <c r="A42" s="8" t="n"/>
      <c r="B42" s="8" t="n"/>
      <c r="C42" s="8" t="n"/>
      <c r="D42" s="8" t="n"/>
      <c r="E42" s="8" t="n"/>
      <c r="F42" s="8" t="n"/>
      <c r="G42" s="8" t="n"/>
      <c r="H42" s="7" t="n"/>
      <c r="I42" s="7" t="n"/>
      <c r="J42" s="8" t="n"/>
      <c r="K42" s="8" t="n"/>
      <c r="L42" s="9" t="n"/>
      <c r="M42" s="8" t="n"/>
      <c r="N42" s="8" t="n"/>
      <c r="O42" s="8" t="n"/>
      <c r="P42" s="7" t="n"/>
      <c r="Q42" s="7" t="n"/>
      <c r="R42" s="8" t="n"/>
      <c r="S42" s="8" t="n"/>
      <c r="T42" s="8" t="n"/>
      <c r="U42" s="8" t="n"/>
    </row>
    <row r="43" ht="15.75" customHeight="1" s="34">
      <c r="A43" s="8" t="n"/>
      <c r="B43" s="8" t="n"/>
      <c r="C43" s="8" t="n"/>
      <c r="D43" s="8" t="n"/>
      <c r="E43" s="8" t="n"/>
      <c r="F43" s="8" t="n"/>
      <c r="G43" s="8" t="n"/>
      <c r="H43" s="7" t="n"/>
      <c r="I43" s="7" t="n"/>
      <c r="J43" s="8" t="n"/>
      <c r="K43" s="8" t="n"/>
      <c r="L43" s="9" t="n"/>
      <c r="M43" s="8" t="n"/>
      <c r="N43" s="8" t="n"/>
      <c r="O43" s="8" t="n"/>
      <c r="P43" s="7" t="n"/>
      <c r="Q43" s="7" t="n"/>
      <c r="R43" s="8" t="n"/>
      <c r="S43" s="8" t="n"/>
      <c r="T43" s="8" t="n"/>
      <c r="U43" s="8" t="n"/>
    </row>
    <row r="44" ht="15.75" customHeight="1" s="34">
      <c r="A44" s="8" t="n"/>
      <c r="B44" s="8" t="n"/>
      <c r="C44" s="8" t="n"/>
      <c r="D44" s="8" t="n"/>
      <c r="E44" s="8" t="n"/>
      <c r="F44" s="8" t="n"/>
      <c r="G44" s="8" t="n"/>
      <c r="H44" s="7" t="n"/>
      <c r="I44" s="7" t="n"/>
      <c r="J44" s="8" t="n"/>
      <c r="K44" s="8" t="n"/>
      <c r="L44" s="9" t="n"/>
      <c r="M44" s="8" t="n"/>
      <c r="N44" s="8" t="n"/>
      <c r="O44" s="8" t="n"/>
      <c r="P44" s="7" t="n"/>
      <c r="Q44" s="7" t="n"/>
      <c r="R44" s="8" t="n"/>
      <c r="S44" s="8" t="n"/>
      <c r="T44" s="8" t="n"/>
      <c r="U44" s="8" t="n"/>
    </row>
    <row r="45" ht="15.75" customHeight="1" s="34">
      <c r="A45" s="8" t="n"/>
      <c r="B45" s="8" t="n"/>
      <c r="C45" s="8" t="n"/>
      <c r="D45" s="8" t="n"/>
      <c r="E45" s="8" t="n"/>
      <c r="F45" s="8" t="n"/>
      <c r="G45" s="8" t="n"/>
      <c r="H45" s="7" t="n"/>
      <c r="I45" s="7" t="n"/>
      <c r="J45" s="8" t="n"/>
      <c r="K45" s="8" t="n"/>
      <c r="L45" s="9" t="n"/>
      <c r="M45" s="8" t="n"/>
      <c r="N45" s="8" t="n"/>
      <c r="O45" s="8" t="n"/>
      <c r="P45" s="7" t="n"/>
      <c r="Q45" s="7" t="n"/>
      <c r="R45" s="8" t="n"/>
      <c r="S45" s="8" t="n"/>
      <c r="T45" s="8" t="n"/>
      <c r="U45" s="8" t="n"/>
    </row>
    <row r="46" ht="15.75" customHeight="1" s="34">
      <c r="A46" s="8" t="n"/>
      <c r="B46" s="8" t="n"/>
      <c r="C46" s="8" t="n"/>
      <c r="D46" s="8" t="n"/>
      <c r="E46" s="8" t="n"/>
      <c r="F46" s="8" t="n"/>
      <c r="G46" s="8" t="n"/>
      <c r="H46" s="7" t="n"/>
      <c r="I46" s="7" t="n"/>
      <c r="J46" s="8" t="n"/>
      <c r="K46" s="8" t="n"/>
      <c r="L46" s="9" t="n"/>
      <c r="M46" s="8" t="n"/>
      <c r="N46" s="8" t="n"/>
      <c r="O46" s="8" t="n"/>
      <c r="P46" s="7" t="n"/>
      <c r="Q46" s="7" t="n"/>
      <c r="R46" s="8" t="n"/>
      <c r="S46" s="8" t="n"/>
      <c r="T46" s="8" t="n"/>
      <c r="U46" s="8" t="n"/>
    </row>
    <row r="47" ht="15.75" customHeight="1" s="34">
      <c r="A47" s="8" t="n"/>
      <c r="B47" s="8" t="n"/>
      <c r="C47" s="8" t="n"/>
      <c r="D47" s="8" t="n"/>
      <c r="E47" s="8" t="n"/>
      <c r="F47" s="8" t="n"/>
      <c r="G47" s="8" t="n"/>
      <c r="H47" s="7" t="n"/>
      <c r="I47" s="7" t="n"/>
      <c r="J47" s="8" t="n"/>
      <c r="K47" s="8" t="n"/>
      <c r="L47" s="9" t="n"/>
      <c r="M47" s="8" t="n"/>
      <c r="N47" s="8" t="n"/>
      <c r="O47" s="8" t="n"/>
      <c r="P47" s="7" t="n"/>
      <c r="Q47" s="7" t="n"/>
      <c r="R47" s="8" t="n"/>
      <c r="S47" s="8" t="n"/>
      <c r="T47" s="8" t="n"/>
      <c r="U47" s="8" t="n"/>
    </row>
    <row r="48" ht="15.75" customHeight="1" s="34">
      <c r="A48" s="8" t="n"/>
      <c r="B48" s="8" t="n"/>
      <c r="C48" s="8" t="n"/>
      <c r="D48" s="8" t="n"/>
      <c r="E48" s="8" t="n"/>
      <c r="F48" s="8" t="n"/>
      <c r="G48" s="8" t="n"/>
      <c r="H48" s="7" t="n"/>
      <c r="I48" s="7" t="n"/>
      <c r="J48" s="8" t="n"/>
      <c r="K48" s="8" t="n"/>
      <c r="L48" s="9" t="n"/>
      <c r="M48" s="8" t="n"/>
      <c r="N48" s="8" t="n"/>
      <c r="O48" s="8" t="n"/>
      <c r="P48" s="7" t="n"/>
      <c r="Q48" s="7" t="n"/>
      <c r="R48" s="8" t="n"/>
      <c r="S48" s="8" t="n"/>
      <c r="T48" s="8" t="n"/>
      <c r="U48" s="8" t="n"/>
    </row>
    <row r="49" ht="15.75" customHeight="1" s="34">
      <c r="A49" s="8" t="n"/>
      <c r="B49" s="8" t="n"/>
      <c r="C49" s="8" t="n"/>
      <c r="D49" s="8" t="n"/>
      <c r="E49" s="8" t="n"/>
      <c r="F49" s="8" t="n"/>
      <c r="G49" s="8" t="n"/>
      <c r="H49" s="7" t="n"/>
      <c r="I49" s="7" t="n"/>
      <c r="J49" s="8" t="n"/>
      <c r="K49" s="8" t="n"/>
      <c r="L49" s="9" t="n"/>
      <c r="M49" s="8" t="n"/>
      <c r="N49" s="8" t="n"/>
      <c r="O49" s="8" t="n"/>
      <c r="P49" s="7" t="n"/>
      <c r="Q49" s="7" t="n"/>
      <c r="R49" s="8" t="n"/>
      <c r="S49" s="8" t="n"/>
      <c r="T49" s="8" t="n"/>
      <c r="U49" s="8" t="n"/>
    </row>
    <row r="50" ht="15.75" customHeight="1" s="34">
      <c r="A50" s="8" t="n"/>
      <c r="B50" s="8" t="n"/>
      <c r="C50" s="8" t="n"/>
      <c r="D50" s="8" t="n"/>
      <c r="E50" s="8" t="n"/>
      <c r="F50" s="8" t="n"/>
      <c r="G50" s="8" t="n"/>
      <c r="H50" s="7" t="n"/>
      <c r="I50" s="7" t="n"/>
      <c r="J50" s="8" t="n"/>
      <c r="K50" s="8" t="n"/>
      <c r="L50" s="9" t="n"/>
      <c r="M50" s="8" t="n"/>
      <c r="N50" s="8" t="n"/>
      <c r="O50" s="8" t="n"/>
      <c r="P50" s="7" t="n"/>
      <c r="Q50" s="7" t="n"/>
      <c r="R50" s="8" t="n"/>
      <c r="S50" s="8" t="n"/>
      <c r="T50" s="8" t="n"/>
      <c r="U50" s="8" t="n"/>
    </row>
    <row r="51" ht="15.75" customHeight="1" s="34">
      <c r="A51" s="8" t="n"/>
      <c r="B51" s="8" t="n"/>
      <c r="C51" s="8" t="n"/>
      <c r="D51" s="8" t="n"/>
      <c r="E51" s="8" t="n"/>
      <c r="F51" s="8" t="n"/>
      <c r="G51" s="8" t="n"/>
      <c r="H51" s="7" t="n"/>
      <c r="I51" s="7" t="n"/>
      <c r="J51" s="8" t="n"/>
      <c r="K51" s="8" t="n"/>
      <c r="L51" s="9" t="n"/>
      <c r="M51" s="8" t="n"/>
      <c r="N51" s="8" t="n"/>
      <c r="O51" s="8" t="n"/>
      <c r="P51" s="7" t="n"/>
      <c r="Q51" s="7" t="n"/>
      <c r="R51" s="8" t="n"/>
      <c r="S51" s="8" t="n"/>
      <c r="T51" s="8" t="n"/>
      <c r="U51" s="8" t="n"/>
    </row>
    <row r="52" ht="15.75" customHeight="1" s="34">
      <c r="A52" s="8" t="n"/>
      <c r="B52" s="8" t="n"/>
      <c r="C52" s="8" t="n"/>
      <c r="D52" s="8" t="n"/>
      <c r="E52" s="8" t="n"/>
      <c r="F52" s="8" t="n"/>
      <c r="G52" s="8" t="n"/>
      <c r="H52" s="7" t="n"/>
      <c r="I52" s="7" t="n"/>
      <c r="J52" s="8" t="n"/>
      <c r="K52" s="8" t="n"/>
      <c r="L52" s="9" t="n"/>
      <c r="M52" s="8" t="n"/>
      <c r="N52" s="8" t="n"/>
      <c r="O52" s="8" t="n"/>
      <c r="P52" s="7" t="n"/>
      <c r="Q52" s="7" t="n"/>
      <c r="R52" s="8" t="n"/>
      <c r="S52" s="8" t="n"/>
      <c r="T52" s="8" t="n"/>
      <c r="U52" s="8" t="n"/>
    </row>
    <row r="53" ht="15.75" customHeight="1" s="34">
      <c r="A53" s="8" t="n"/>
      <c r="B53" s="8" t="n"/>
      <c r="C53" s="8" t="n"/>
      <c r="D53" s="8" t="n"/>
      <c r="E53" s="8" t="n"/>
      <c r="F53" s="8" t="n"/>
      <c r="G53" s="8" t="n"/>
      <c r="H53" s="7" t="n"/>
      <c r="I53" s="7" t="n"/>
      <c r="J53" s="8" t="n"/>
      <c r="K53" s="8" t="n"/>
      <c r="L53" s="9" t="n"/>
      <c r="M53" s="8" t="n"/>
      <c r="N53" s="8" t="n"/>
      <c r="O53" s="8" t="n"/>
      <c r="P53" s="7" t="n"/>
      <c r="Q53" s="7" t="n"/>
      <c r="R53" s="8" t="n"/>
      <c r="S53" s="8" t="n"/>
      <c r="T53" s="8" t="n"/>
      <c r="U53" s="8" t="n"/>
    </row>
    <row r="54" ht="15.75" customHeight="1" s="34">
      <c r="A54" s="8" t="n"/>
      <c r="B54" s="8" t="n"/>
      <c r="C54" s="8" t="n"/>
      <c r="D54" s="8" t="n"/>
      <c r="E54" s="8" t="n"/>
      <c r="F54" s="8" t="n"/>
      <c r="G54" s="8" t="n"/>
      <c r="H54" s="7" t="n"/>
      <c r="I54" s="7" t="n"/>
      <c r="J54" s="8" t="n"/>
      <c r="K54" s="8" t="n"/>
      <c r="L54" s="9" t="n"/>
      <c r="M54" s="8" t="n"/>
      <c r="N54" s="8" t="n"/>
      <c r="O54" s="8" t="n"/>
      <c r="P54" s="7" t="n"/>
      <c r="Q54" s="7" t="n"/>
      <c r="R54" s="8" t="n"/>
      <c r="S54" s="8" t="n"/>
      <c r="T54" s="8" t="n"/>
      <c r="U54" s="8" t="n"/>
    </row>
    <row r="55" ht="15.75" customHeight="1" s="34">
      <c r="A55" s="8" t="n"/>
      <c r="B55" s="8" t="n"/>
      <c r="C55" s="8" t="n"/>
      <c r="D55" s="8" t="n"/>
      <c r="E55" s="8" t="n"/>
      <c r="F55" s="8" t="n"/>
      <c r="G55" s="8" t="n"/>
      <c r="H55" s="7" t="n"/>
      <c r="I55" s="7" t="n"/>
      <c r="J55" s="8" t="n"/>
      <c r="K55" s="8" t="n"/>
      <c r="L55" s="9" t="n"/>
      <c r="M55" s="8" t="n"/>
      <c r="N55" s="8" t="n"/>
      <c r="O55" s="8" t="n"/>
      <c r="P55" s="7" t="n"/>
      <c r="Q55" s="7" t="n"/>
      <c r="R55" s="8" t="n"/>
      <c r="S55" s="8" t="n"/>
      <c r="T55" s="8" t="n"/>
      <c r="U55" s="8" t="n"/>
    </row>
    <row r="56" ht="15.75" customHeight="1" s="34">
      <c r="A56" s="8" t="n"/>
      <c r="B56" s="8" t="n"/>
      <c r="C56" s="8" t="n"/>
      <c r="D56" s="8" t="n"/>
      <c r="E56" s="8" t="n"/>
      <c r="F56" s="8" t="n"/>
      <c r="G56" s="8" t="n"/>
      <c r="H56" s="7" t="n"/>
      <c r="I56" s="7" t="n"/>
      <c r="J56" s="8" t="n"/>
      <c r="K56" s="8" t="n"/>
      <c r="L56" s="9" t="n"/>
      <c r="M56" s="8" t="n"/>
      <c r="N56" s="8" t="n"/>
      <c r="O56" s="8" t="n"/>
      <c r="P56" s="7" t="n"/>
      <c r="Q56" s="7" t="n"/>
      <c r="R56" s="8" t="n"/>
      <c r="S56" s="8" t="n"/>
      <c r="T56" s="8" t="n"/>
      <c r="U56" s="8" t="n"/>
    </row>
    <row r="57" ht="15.75" customHeight="1" s="34">
      <c r="A57" s="8" t="n"/>
      <c r="B57" s="8" t="n"/>
      <c r="C57" s="8" t="n"/>
      <c r="D57" s="8" t="n"/>
      <c r="E57" s="8" t="n"/>
      <c r="F57" s="8" t="n"/>
      <c r="G57" s="8" t="n"/>
      <c r="H57" s="7" t="n"/>
      <c r="I57" s="7" t="n"/>
      <c r="J57" s="8" t="n"/>
      <c r="K57" s="8" t="n"/>
      <c r="L57" s="9" t="n"/>
      <c r="M57" s="8" t="n"/>
      <c r="N57" s="8" t="n"/>
      <c r="O57" s="8" t="n"/>
      <c r="P57" s="7" t="n"/>
      <c r="Q57" s="7" t="n"/>
      <c r="R57" s="8" t="n"/>
      <c r="S57" s="8" t="n"/>
      <c r="T57" s="8" t="n"/>
      <c r="U57" s="8" t="n"/>
    </row>
    <row r="58" ht="15.75" customHeight="1" s="34">
      <c r="A58" s="8" t="n"/>
      <c r="B58" s="8" t="n"/>
      <c r="C58" s="8" t="n"/>
      <c r="D58" s="8" t="n"/>
      <c r="E58" s="8" t="n"/>
      <c r="F58" s="8" t="n"/>
      <c r="G58" s="8" t="n"/>
      <c r="H58" s="7" t="n"/>
      <c r="I58" s="7" t="n"/>
      <c r="J58" s="8" t="n"/>
      <c r="K58" s="8" t="n"/>
      <c r="L58" s="9" t="n"/>
      <c r="M58" s="8" t="n"/>
      <c r="N58" s="8" t="n"/>
      <c r="O58" s="8" t="n"/>
      <c r="P58" s="7" t="n"/>
      <c r="Q58" s="7" t="n"/>
      <c r="R58" s="8" t="n"/>
      <c r="S58" s="8" t="n"/>
      <c r="T58" s="8" t="n"/>
      <c r="U58" s="8" t="n"/>
    </row>
    <row r="59" ht="15.75" customHeight="1" s="34">
      <c r="A59" s="8" t="n"/>
      <c r="B59" s="8" t="n"/>
      <c r="C59" s="8" t="n"/>
      <c r="D59" s="8" t="n"/>
      <c r="E59" s="8" t="n"/>
      <c r="F59" s="8" t="n"/>
      <c r="G59" s="8" t="n"/>
      <c r="H59" s="7" t="n"/>
      <c r="I59" s="7" t="n"/>
      <c r="J59" s="8" t="n"/>
      <c r="K59" s="8" t="n"/>
      <c r="L59" s="9" t="n"/>
      <c r="M59" s="8" t="n"/>
      <c r="N59" s="8" t="n"/>
      <c r="O59" s="8" t="n"/>
      <c r="P59" s="7" t="n"/>
      <c r="Q59" s="7" t="n"/>
      <c r="R59" s="8" t="n"/>
      <c r="S59" s="8" t="n"/>
      <c r="T59" s="8" t="n"/>
      <c r="U59" s="8" t="n"/>
    </row>
    <row r="60" ht="15.75" customHeight="1" s="34">
      <c r="A60" s="8" t="n"/>
      <c r="B60" s="8" t="n"/>
      <c r="C60" s="8" t="n"/>
      <c r="D60" s="8" t="n"/>
      <c r="E60" s="8" t="n"/>
      <c r="F60" s="8" t="n"/>
      <c r="G60" s="8" t="n"/>
      <c r="H60" s="7" t="n"/>
      <c r="I60" s="7" t="n"/>
      <c r="J60" s="8" t="n"/>
      <c r="K60" s="8" t="n"/>
      <c r="L60" s="9" t="n"/>
      <c r="M60" s="8" t="n"/>
      <c r="N60" s="8" t="n"/>
      <c r="O60" s="8" t="n"/>
      <c r="P60" s="7" t="n"/>
      <c r="Q60" s="7" t="n"/>
      <c r="R60" s="8" t="n"/>
      <c r="S60" s="8" t="n"/>
      <c r="T60" s="8" t="n"/>
      <c r="U60" s="8" t="n"/>
    </row>
    <row r="61" ht="15.75" customHeight="1" s="34">
      <c r="A61" s="8" t="n"/>
      <c r="B61" s="8" t="n"/>
      <c r="C61" s="8" t="n"/>
      <c r="D61" s="8" t="n"/>
      <c r="E61" s="8" t="n"/>
      <c r="F61" s="8" t="n"/>
      <c r="G61" s="8" t="n"/>
      <c r="H61" s="7" t="n"/>
      <c r="I61" s="7" t="n"/>
      <c r="J61" s="8" t="n"/>
      <c r="K61" s="8" t="n"/>
      <c r="L61" s="9" t="n"/>
      <c r="M61" s="8" t="n"/>
      <c r="N61" s="8" t="n"/>
      <c r="O61" s="8" t="n"/>
      <c r="P61" s="7" t="n"/>
      <c r="Q61" s="7" t="n"/>
      <c r="R61" s="8" t="n"/>
      <c r="S61" s="8" t="n"/>
      <c r="T61" s="8" t="n"/>
      <c r="U61" s="8" t="n"/>
    </row>
    <row r="62" ht="15.75" customHeight="1" s="34">
      <c r="A62" s="8" t="n"/>
      <c r="B62" s="8" t="n"/>
      <c r="C62" s="8" t="n"/>
      <c r="D62" s="8" t="n"/>
      <c r="E62" s="8" t="n"/>
      <c r="F62" s="8" t="n"/>
      <c r="G62" s="8" t="n"/>
      <c r="H62" s="7" t="n"/>
      <c r="I62" s="7" t="n"/>
      <c r="J62" s="8" t="n"/>
      <c r="K62" s="8" t="n"/>
      <c r="L62" s="9" t="n"/>
      <c r="M62" s="8" t="n"/>
      <c r="N62" s="8" t="n"/>
      <c r="O62" s="8" t="n"/>
      <c r="P62" s="7" t="n"/>
      <c r="Q62" s="7" t="n"/>
      <c r="R62" s="8" t="n"/>
      <c r="S62" s="8" t="n"/>
      <c r="T62" s="8" t="n"/>
      <c r="U62" s="8" t="n"/>
    </row>
    <row r="63" ht="15.75" customHeight="1" s="34">
      <c r="A63" s="8" t="n"/>
      <c r="B63" s="8" t="n"/>
      <c r="C63" s="8" t="n"/>
      <c r="D63" s="8" t="n"/>
      <c r="E63" s="8" t="n"/>
      <c r="F63" s="8" t="n"/>
      <c r="G63" s="8" t="n"/>
      <c r="H63" s="7" t="n"/>
      <c r="I63" s="7" t="n"/>
      <c r="J63" s="8" t="n"/>
      <c r="K63" s="8" t="n"/>
      <c r="L63" s="9" t="n"/>
      <c r="M63" s="8" t="n"/>
      <c r="N63" s="8" t="n"/>
      <c r="O63" s="8" t="n"/>
      <c r="P63" s="7" t="n"/>
      <c r="Q63" s="7" t="n"/>
      <c r="R63" s="8" t="n"/>
      <c r="S63" s="8" t="n"/>
      <c r="T63" s="8" t="n"/>
      <c r="U63" s="8" t="n"/>
    </row>
    <row r="64" ht="15.75" customHeight="1" s="34">
      <c r="A64" s="8" t="n"/>
      <c r="B64" s="8" t="n"/>
      <c r="C64" s="8" t="n"/>
      <c r="D64" s="8" t="n"/>
      <c r="E64" s="8" t="n"/>
      <c r="F64" s="8" t="n"/>
      <c r="G64" s="8" t="n"/>
      <c r="H64" s="7" t="n"/>
      <c r="I64" s="7" t="n"/>
      <c r="J64" s="8" t="n"/>
      <c r="K64" s="8" t="n"/>
      <c r="L64" s="9" t="n"/>
      <c r="M64" s="8" t="n"/>
      <c r="N64" s="8" t="n"/>
      <c r="O64" s="8" t="n"/>
      <c r="P64" s="7" t="n"/>
      <c r="Q64" s="7" t="n"/>
      <c r="R64" s="8" t="n"/>
      <c r="S64" s="8" t="n"/>
      <c r="T64" s="8" t="n"/>
      <c r="U64" s="8" t="n"/>
    </row>
    <row r="65" ht="15.75" customHeight="1" s="34">
      <c r="A65" s="8" t="n"/>
      <c r="B65" s="8" t="n"/>
      <c r="C65" s="8" t="n"/>
      <c r="D65" s="8" t="n"/>
      <c r="E65" s="8" t="n"/>
      <c r="F65" s="8" t="n"/>
      <c r="G65" s="8" t="n"/>
      <c r="H65" s="7" t="n"/>
      <c r="I65" s="7" t="n"/>
      <c r="J65" s="8" t="n"/>
      <c r="K65" s="8" t="n"/>
      <c r="L65" s="9" t="n"/>
      <c r="M65" s="8" t="n"/>
      <c r="N65" s="8" t="n"/>
      <c r="O65" s="8" t="n"/>
      <c r="P65" s="7" t="n"/>
      <c r="Q65" s="7" t="n"/>
      <c r="R65" s="8" t="n"/>
      <c r="S65" s="8" t="n"/>
      <c r="T65" s="8" t="n"/>
      <c r="U65" s="8" t="n"/>
    </row>
    <row r="66" ht="15.75" customHeight="1" s="34">
      <c r="A66" s="8" t="n"/>
      <c r="B66" s="8" t="n"/>
      <c r="C66" s="8" t="n"/>
      <c r="D66" s="8" t="n"/>
      <c r="E66" s="8" t="n"/>
      <c r="F66" s="8" t="n"/>
      <c r="G66" s="8" t="n"/>
      <c r="H66" s="7" t="n"/>
      <c r="I66" s="7" t="n"/>
      <c r="J66" s="8" t="n"/>
      <c r="K66" s="8" t="n"/>
      <c r="L66" s="9" t="n"/>
      <c r="M66" s="8" t="n"/>
      <c r="N66" s="8" t="n"/>
      <c r="O66" s="8" t="n"/>
      <c r="P66" s="7" t="n"/>
      <c r="Q66" s="7" t="n"/>
      <c r="R66" s="8" t="n"/>
      <c r="S66" s="8" t="n"/>
      <c r="T66" s="8" t="n"/>
      <c r="U66" s="8" t="n"/>
    </row>
    <row r="67" ht="15.75" customHeight="1" s="34">
      <c r="A67" s="8" t="n"/>
      <c r="B67" s="8" t="n"/>
      <c r="C67" s="8" t="n"/>
      <c r="D67" s="8" t="n"/>
      <c r="E67" s="8" t="n"/>
      <c r="F67" s="8" t="n"/>
      <c r="G67" s="8" t="n"/>
      <c r="H67" s="7" t="n"/>
      <c r="I67" s="7" t="n"/>
      <c r="J67" s="8" t="n"/>
      <c r="K67" s="8" t="n"/>
      <c r="L67" s="9" t="n"/>
      <c r="M67" s="8" t="n"/>
      <c r="N67" s="8" t="n"/>
      <c r="O67" s="8" t="n"/>
      <c r="P67" s="7" t="n"/>
      <c r="Q67" s="7" t="n"/>
      <c r="R67" s="8" t="n"/>
      <c r="S67" s="8" t="n"/>
      <c r="T67" s="8" t="n"/>
      <c r="U67" s="8" t="n"/>
    </row>
    <row r="68" ht="15.75" customHeight="1" s="34">
      <c r="A68" s="8" t="n"/>
      <c r="B68" s="8" t="n"/>
      <c r="C68" s="8" t="n"/>
      <c r="D68" s="8" t="n"/>
      <c r="E68" s="8" t="n"/>
      <c r="F68" s="8" t="n"/>
      <c r="G68" s="8" t="n"/>
      <c r="H68" s="7" t="n"/>
      <c r="I68" s="7" t="n"/>
      <c r="J68" s="8" t="n"/>
      <c r="K68" s="8" t="n"/>
      <c r="L68" s="9" t="n"/>
      <c r="M68" s="8" t="n"/>
      <c r="N68" s="8" t="n"/>
      <c r="O68" s="8" t="n"/>
      <c r="P68" s="7" t="n"/>
      <c r="Q68" s="7" t="n"/>
      <c r="R68" s="8" t="n"/>
      <c r="S68" s="8" t="n"/>
      <c r="T68" s="8" t="n"/>
      <c r="U68" s="8" t="n"/>
    </row>
    <row r="69" ht="15.75" customHeight="1" s="34">
      <c r="A69" s="8" t="n"/>
      <c r="B69" s="8" t="n"/>
      <c r="C69" s="8" t="n"/>
      <c r="D69" s="8" t="n"/>
      <c r="E69" s="8" t="n"/>
      <c r="F69" s="8" t="n"/>
      <c r="G69" s="8" t="n"/>
      <c r="H69" s="7" t="n"/>
      <c r="I69" s="7" t="n"/>
      <c r="J69" s="8" t="n"/>
      <c r="K69" s="8" t="n"/>
      <c r="L69" s="9" t="n"/>
      <c r="M69" s="8" t="n"/>
      <c r="N69" s="8" t="n"/>
      <c r="O69" s="8" t="n"/>
      <c r="P69" s="7" t="n"/>
      <c r="Q69" s="7" t="n"/>
      <c r="R69" s="8" t="n"/>
      <c r="S69" s="8" t="n"/>
      <c r="T69" s="8" t="n"/>
      <c r="U69" s="8" t="n"/>
    </row>
    <row r="70" ht="15.75" customHeight="1" s="34">
      <c r="A70" s="8" t="n"/>
      <c r="B70" s="8" t="n"/>
      <c r="C70" s="8" t="n"/>
      <c r="D70" s="8" t="n"/>
      <c r="E70" s="8" t="n"/>
      <c r="F70" s="8" t="n"/>
      <c r="G70" s="8" t="n"/>
      <c r="H70" s="7" t="n"/>
      <c r="I70" s="7" t="n"/>
      <c r="J70" s="8" t="n"/>
      <c r="K70" s="8" t="n"/>
      <c r="L70" s="9" t="n"/>
      <c r="M70" s="8" t="n"/>
      <c r="N70" s="8" t="n"/>
      <c r="O70" s="8" t="n"/>
      <c r="P70" s="7" t="n"/>
      <c r="Q70" s="7" t="n"/>
      <c r="R70" s="8" t="n"/>
      <c r="S70" s="8" t="n"/>
      <c r="T70" s="8" t="n"/>
      <c r="U70" s="8" t="n"/>
    </row>
    <row r="71" ht="15.75" customHeight="1" s="34">
      <c r="A71" s="8" t="n"/>
      <c r="B71" s="8" t="n"/>
      <c r="C71" s="8" t="n"/>
      <c r="D71" s="8" t="n"/>
      <c r="E71" s="8" t="n"/>
      <c r="F71" s="8" t="n"/>
      <c r="G71" s="8" t="n"/>
      <c r="H71" s="7" t="n"/>
      <c r="I71" s="7" t="n"/>
      <c r="J71" s="8" t="n"/>
      <c r="K71" s="8" t="n"/>
      <c r="L71" s="9" t="n"/>
      <c r="M71" s="8" t="n"/>
      <c r="N71" s="8" t="n"/>
      <c r="O71" s="8" t="n"/>
      <c r="P71" s="7" t="n"/>
      <c r="Q71" s="7" t="n"/>
      <c r="R71" s="8" t="n"/>
      <c r="S71" s="8" t="n"/>
      <c r="T71" s="8" t="n"/>
      <c r="U71" s="8" t="n"/>
    </row>
    <row r="72" ht="15.75" customHeight="1" s="34">
      <c r="A72" s="8" t="n"/>
      <c r="B72" s="8" t="n"/>
      <c r="C72" s="8" t="n"/>
      <c r="D72" s="8" t="n"/>
      <c r="E72" s="8" t="n"/>
      <c r="F72" s="8" t="n"/>
      <c r="G72" s="8" t="n"/>
      <c r="H72" s="7" t="n"/>
      <c r="I72" s="7" t="n"/>
      <c r="J72" s="8" t="n"/>
      <c r="K72" s="8" t="n"/>
      <c r="L72" s="9" t="n"/>
      <c r="M72" s="8" t="n"/>
      <c r="N72" s="8" t="n"/>
      <c r="O72" s="8" t="n"/>
      <c r="P72" s="7" t="n"/>
      <c r="Q72" s="7" t="n"/>
      <c r="R72" s="8" t="n"/>
      <c r="S72" s="8" t="n"/>
      <c r="T72" s="8" t="n"/>
      <c r="U72" s="8" t="n"/>
    </row>
    <row r="73" ht="15.75" customHeight="1" s="34">
      <c r="A73" s="8" t="n"/>
      <c r="B73" s="8" t="n"/>
      <c r="C73" s="8" t="n"/>
      <c r="D73" s="8" t="n"/>
      <c r="E73" s="8" t="n"/>
      <c r="F73" s="8" t="n"/>
      <c r="G73" s="8" t="n"/>
      <c r="H73" s="7" t="n"/>
      <c r="I73" s="7" t="n"/>
      <c r="J73" s="8" t="n"/>
      <c r="K73" s="8" t="n"/>
      <c r="L73" s="9" t="n"/>
      <c r="M73" s="8" t="n"/>
      <c r="N73" s="8" t="n"/>
      <c r="O73" s="8" t="n"/>
      <c r="P73" s="7" t="n"/>
      <c r="Q73" s="7" t="n"/>
      <c r="R73" s="8" t="n"/>
      <c r="S73" s="8" t="n"/>
      <c r="T73" s="8" t="n"/>
      <c r="U73" s="8" t="n"/>
    </row>
    <row r="74" ht="15.75" customHeight="1" s="34">
      <c r="A74" s="8" t="n"/>
      <c r="B74" s="8" t="n"/>
      <c r="C74" s="8" t="n"/>
      <c r="D74" s="8" t="n"/>
      <c r="E74" s="8" t="n"/>
      <c r="F74" s="8" t="n"/>
      <c r="G74" s="8" t="n"/>
      <c r="H74" s="7" t="n"/>
      <c r="I74" s="7" t="n"/>
      <c r="J74" s="8" t="n"/>
      <c r="K74" s="8" t="n"/>
      <c r="L74" s="9" t="n"/>
      <c r="M74" s="8" t="n"/>
      <c r="N74" s="8" t="n"/>
      <c r="O74" s="8" t="n"/>
      <c r="P74" s="7" t="n"/>
      <c r="Q74" s="7" t="n"/>
      <c r="R74" s="8" t="n"/>
      <c r="S74" s="8" t="n"/>
      <c r="T74" s="8" t="n"/>
      <c r="U74" s="8" t="n"/>
    </row>
    <row r="75" ht="15.75" customHeight="1" s="34">
      <c r="A75" s="8" t="n"/>
      <c r="B75" s="8" t="n"/>
      <c r="C75" s="8" t="n"/>
      <c r="D75" s="8" t="n"/>
      <c r="E75" s="8" t="n"/>
      <c r="F75" s="8" t="n"/>
      <c r="G75" s="8" t="n"/>
      <c r="H75" s="7" t="n"/>
      <c r="I75" s="7" t="n"/>
      <c r="J75" s="8" t="n"/>
      <c r="K75" s="8" t="n"/>
      <c r="L75" s="9" t="n"/>
      <c r="M75" s="8" t="n"/>
      <c r="N75" s="8" t="n"/>
      <c r="O75" s="8" t="n"/>
      <c r="P75" s="7" t="n"/>
      <c r="Q75" s="7" t="n"/>
      <c r="R75" s="8" t="n"/>
      <c r="S75" s="8" t="n"/>
      <c r="T75" s="8" t="n"/>
      <c r="U75" s="8" t="n"/>
    </row>
    <row r="76" ht="15.75" customHeight="1" s="34">
      <c r="A76" s="8" t="n"/>
      <c r="B76" s="8" t="n"/>
      <c r="C76" s="8" t="n"/>
      <c r="D76" s="8" t="n"/>
      <c r="E76" s="8" t="n"/>
      <c r="F76" s="8" t="n"/>
      <c r="G76" s="8" t="n"/>
      <c r="H76" s="7" t="n"/>
      <c r="I76" s="7" t="n"/>
      <c r="J76" s="8" t="n"/>
      <c r="K76" s="8" t="n"/>
      <c r="L76" s="9" t="n"/>
      <c r="M76" s="8" t="n"/>
      <c r="N76" s="8" t="n"/>
      <c r="O76" s="8" t="n"/>
      <c r="P76" s="7" t="n"/>
      <c r="Q76" s="7" t="n"/>
      <c r="R76" s="8" t="n"/>
      <c r="S76" s="8" t="n"/>
      <c r="T76" s="8" t="n"/>
      <c r="U76" s="8" t="n"/>
    </row>
    <row r="77" ht="15.75" customHeight="1" s="34">
      <c r="A77" s="8" t="n"/>
      <c r="B77" s="8" t="n"/>
      <c r="C77" s="8" t="n"/>
      <c r="D77" s="8" t="n"/>
      <c r="E77" s="8" t="n"/>
      <c r="F77" s="8" t="n"/>
      <c r="G77" s="8" t="n"/>
      <c r="H77" s="7" t="n"/>
      <c r="I77" s="7" t="n"/>
      <c r="J77" s="8" t="n"/>
      <c r="K77" s="8" t="n"/>
      <c r="L77" s="9" t="n"/>
      <c r="M77" s="8" t="n"/>
      <c r="N77" s="8" t="n"/>
      <c r="O77" s="8" t="n"/>
      <c r="P77" s="7" t="n"/>
      <c r="Q77" s="7" t="n"/>
      <c r="R77" s="8" t="n"/>
      <c r="S77" s="8" t="n"/>
      <c r="T77" s="8" t="n"/>
      <c r="U77" s="8" t="n"/>
    </row>
    <row r="78" ht="15.75" customHeight="1" s="34">
      <c r="A78" s="8" t="n"/>
      <c r="B78" s="8" t="n"/>
      <c r="C78" s="8" t="n"/>
      <c r="D78" s="8" t="n"/>
      <c r="E78" s="8" t="n"/>
      <c r="F78" s="8" t="n"/>
      <c r="G78" s="8" t="n"/>
      <c r="H78" s="7" t="n"/>
      <c r="I78" s="7" t="n"/>
      <c r="J78" s="8" t="n"/>
      <c r="K78" s="8" t="n"/>
      <c r="L78" s="9" t="n"/>
      <c r="M78" s="8" t="n"/>
      <c r="N78" s="8" t="n"/>
      <c r="O78" s="8" t="n"/>
      <c r="P78" s="7" t="n"/>
      <c r="Q78" s="7" t="n"/>
      <c r="R78" s="8" t="n"/>
      <c r="S78" s="8" t="n"/>
      <c r="T78" s="8" t="n"/>
      <c r="U78" s="8" t="n"/>
    </row>
    <row r="79" ht="15.75" customHeight="1" s="34">
      <c r="A79" s="8" t="n"/>
      <c r="B79" s="8" t="n"/>
      <c r="C79" s="8" t="n"/>
      <c r="D79" s="8" t="n"/>
      <c r="E79" s="8" t="n"/>
      <c r="F79" s="8" t="n"/>
      <c r="G79" s="8" t="n"/>
      <c r="H79" s="7" t="n"/>
      <c r="I79" s="7" t="n"/>
      <c r="J79" s="8" t="n"/>
      <c r="K79" s="8" t="n"/>
      <c r="L79" s="9" t="n"/>
      <c r="M79" s="8" t="n"/>
      <c r="N79" s="8" t="n"/>
      <c r="O79" s="8" t="n"/>
      <c r="P79" s="7" t="n"/>
      <c r="Q79" s="7" t="n"/>
      <c r="R79" s="8" t="n"/>
      <c r="S79" s="8" t="n"/>
      <c r="T79" s="8" t="n"/>
      <c r="U79" s="8" t="n"/>
    </row>
    <row r="80" ht="15.75" customHeight="1" s="34">
      <c r="A80" s="8" t="n"/>
      <c r="B80" s="8" t="n"/>
      <c r="C80" s="8" t="n"/>
      <c r="D80" s="8" t="n"/>
      <c r="E80" s="8" t="n"/>
      <c r="F80" s="8" t="n"/>
      <c r="G80" s="8" t="n"/>
      <c r="H80" s="7" t="n"/>
      <c r="I80" s="7" t="n"/>
      <c r="J80" s="8" t="n"/>
      <c r="K80" s="8" t="n"/>
      <c r="L80" s="9" t="n"/>
      <c r="M80" s="8" t="n"/>
      <c r="N80" s="8" t="n"/>
      <c r="O80" s="8" t="n"/>
      <c r="P80" s="7" t="n"/>
      <c r="Q80" s="7" t="n"/>
      <c r="R80" s="8" t="n"/>
      <c r="S80" s="8" t="n"/>
      <c r="T80" s="8" t="n"/>
      <c r="U80" s="8" t="n"/>
    </row>
    <row r="81" ht="15.75" customHeight="1" s="34">
      <c r="A81" s="8" t="n"/>
      <c r="B81" s="8" t="n"/>
      <c r="C81" s="8" t="n"/>
      <c r="D81" s="8" t="n"/>
      <c r="E81" s="8" t="n"/>
      <c r="F81" s="8" t="n"/>
      <c r="G81" s="8" t="n"/>
      <c r="H81" s="7" t="n"/>
      <c r="I81" s="7" t="n"/>
      <c r="J81" s="8" t="n"/>
      <c r="K81" s="8" t="n"/>
      <c r="L81" s="9" t="n"/>
      <c r="M81" s="8" t="n"/>
      <c r="N81" s="8" t="n"/>
      <c r="O81" s="8" t="n"/>
      <c r="P81" s="7" t="n"/>
      <c r="Q81" s="7" t="n"/>
      <c r="R81" s="8" t="n"/>
      <c r="S81" s="8" t="n"/>
      <c r="T81" s="8" t="n"/>
      <c r="U81" s="8" t="n"/>
    </row>
    <row r="82" ht="15.75" customHeight="1" s="34">
      <c r="A82" s="8" t="n"/>
      <c r="B82" s="8" t="n"/>
      <c r="C82" s="8" t="n"/>
      <c r="D82" s="8" t="n"/>
      <c r="E82" s="8" t="n"/>
      <c r="F82" s="8" t="n"/>
      <c r="G82" s="8" t="n"/>
      <c r="H82" s="7" t="n"/>
      <c r="I82" s="7" t="n"/>
      <c r="J82" s="8" t="n"/>
      <c r="K82" s="8" t="n"/>
      <c r="L82" s="9" t="n"/>
      <c r="M82" s="8" t="n"/>
      <c r="N82" s="8" t="n"/>
      <c r="O82" s="8" t="n"/>
      <c r="P82" s="7" t="n"/>
      <c r="Q82" s="7" t="n"/>
      <c r="R82" s="8" t="n"/>
      <c r="S82" s="8" t="n"/>
      <c r="T82" s="8" t="n"/>
      <c r="U82" s="8" t="n"/>
    </row>
    <row r="83" ht="15.75" customHeight="1" s="34">
      <c r="A83" s="8" t="n"/>
      <c r="B83" s="8" t="n"/>
      <c r="C83" s="8" t="n"/>
      <c r="D83" s="8" t="n"/>
      <c r="E83" s="8" t="n"/>
      <c r="F83" s="8" t="n"/>
      <c r="G83" s="8" t="n"/>
      <c r="H83" s="7" t="n"/>
      <c r="I83" s="7" t="n"/>
      <c r="J83" s="8" t="n"/>
      <c r="K83" s="8" t="n"/>
      <c r="L83" s="9" t="n"/>
      <c r="M83" s="8" t="n"/>
      <c r="N83" s="8" t="n"/>
      <c r="O83" s="8" t="n"/>
      <c r="P83" s="7" t="n"/>
      <c r="Q83" s="7" t="n"/>
      <c r="R83" s="8" t="n"/>
      <c r="S83" s="8" t="n"/>
      <c r="T83" s="8" t="n"/>
      <c r="U83" s="8" t="n"/>
    </row>
    <row r="84" ht="15.75" customHeight="1" s="34">
      <c r="A84" s="8" t="n"/>
      <c r="B84" s="8" t="n"/>
      <c r="C84" s="8" t="n"/>
      <c r="D84" s="8" t="n"/>
      <c r="E84" s="8" t="n"/>
      <c r="F84" s="8" t="n"/>
      <c r="G84" s="8" t="n"/>
      <c r="H84" s="7" t="n"/>
      <c r="I84" s="7" t="n"/>
      <c r="J84" s="8" t="n"/>
      <c r="K84" s="8" t="n"/>
      <c r="L84" s="9" t="n"/>
      <c r="M84" s="8" t="n"/>
      <c r="N84" s="8" t="n"/>
      <c r="O84" s="8" t="n"/>
      <c r="P84" s="7" t="n"/>
      <c r="Q84" s="7" t="n"/>
      <c r="R84" s="8" t="n"/>
      <c r="S84" s="8" t="n"/>
      <c r="T84" s="8" t="n"/>
      <c r="U84" s="8" t="n"/>
    </row>
    <row r="85" ht="15.75" customHeight="1" s="34">
      <c r="A85" s="8" t="n"/>
      <c r="B85" s="8" t="n"/>
      <c r="C85" s="8" t="n"/>
      <c r="D85" s="8" t="n"/>
      <c r="E85" s="8" t="n"/>
      <c r="F85" s="8" t="n"/>
      <c r="G85" s="8" t="n"/>
      <c r="H85" s="7" t="n"/>
      <c r="I85" s="7" t="n"/>
      <c r="J85" s="8" t="n"/>
      <c r="K85" s="8" t="n"/>
      <c r="L85" s="9" t="n"/>
      <c r="M85" s="8" t="n"/>
      <c r="N85" s="8" t="n"/>
      <c r="O85" s="8" t="n"/>
      <c r="P85" s="7" t="n"/>
      <c r="Q85" s="7" t="n"/>
      <c r="R85" s="8" t="n"/>
      <c r="S85" s="8" t="n"/>
      <c r="T85" s="8" t="n"/>
      <c r="U85" s="8" t="n"/>
    </row>
    <row r="86" ht="15.75" customHeight="1" s="34">
      <c r="A86" s="8" t="n"/>
      <c r="B86" s="8" t="n"/>
      <c r="C86" s="8" t="n"/>
      <c r="D86" s="8" t="n"/>
      <c r="E86" s="8" t="n"/>
      <c r="F86" s="8" t="n"/>
      <c r="G86" s="8" t="n"/>
      <c r="H86" s="7" t="n"/>
      <c r="I86" s="7" t="n"/>
      <c r="J86" s="8" t="n"/>
      <c r="K86" s="8" t="n"/>
      <c r="L86" s="9" t="n"/>
      <c r="M86" s="8" t="n"/>
      <c r="N86" s="8" t="n"/>
      <c r="O86" s="8" t="n"/>
      <c r="P86" s="7" t="n"/>
      <c r="Q86" s="7" t="n"/>
      <c r="R86" s="8" t="n"/>
      <c r="S86" s="8" t="n"/>
      <c r="T86" s="8" t="n"/>
      <c r="U86" s="8" t="n"/>
    </row>
    <row r="87" ht="15.75" customHeight="1" s="34">
      <c r="A87" s="8" t="n"/>
      <c r="B87" s="8" t="n"/>
      <c r="C87" s="8" t="n"/>
      <c r="D87" s="8" t="n"/>
      <c r="E87" s="8" t="n"/>
      <c r="F87" s="8" t="n"/>
      <c r="G87" s="8" t="n"/>
      <c r="H87" s="7" t="n"/>
      <c r="I87" s="7" t="n"/>
      <c r="J87" s="8" t="n"/>
      <c r="K87" s="8" t="n"/>
      <c r="L87" s="9" t="n"/>
      <c r="M87" s="8" t="n"/>
      <c r="N87" s="8" t="n"/>
      <c r="O87" s="8" t="n"/>
      <c r="P87" s="7" t="n"/>
      <c r="Q87" s="7" t="n"/>
      <c r="R87" s="8" t="n"/>
      <c r="S87" s="8" t="n"/>
      <c r="T87" s="8" t="n"/>
      <c r="U87" s="8" t="n"/>
    </row>
    <row r="88" ht="15.75" customHeight="1" s="34">
      <c r="A88" s="8" t="n"/>
      <c r="B88" s="8" t="n"/>
      <c r="C88" s="8" t="n"/>
      <c r="D88" s="8" t="n"/>
      <c r="E88" s="8" t="n"/>
      <c r="F88" s="8" t="n"/>
      <c r="G88" s="8" t="n"/>
      <c r="H88" s="7" t="n"/>
      <c r="I88" s="7" t="n"/>
      <c r="J88" s="8" t="n"/>
      <c r="K88" s="8" t="n"/>
      <c r="L88" s="9" t="n"/>
      <c r="M88" s="8" t="n"/>
      <c r="N88" s="8" t="n"/>
      <c r="O88" s="8" t="n"/>
      <c r="P88" s="7" t="n"/>
      <c r="Q88" s="7" t="n"/>
      <c r="R88" s="8" t="n"/>
      <c r="S88" s="8" t="n"/>
      <c r="T88" s="8" t="n"/>
      <c r="U88" s="8" t="n"/>
    </row>
    <row r="89" ht="15.75" customHeight="1" s="34">
      <c r="A89" s="8" t="n"/>
      <c r="B89" s="8" t="n"/>
      <c r="C89" s="8" t="n"/>
      <c r="D89" s="8" t="n"/>
      <c r="E89" s="8" t="n"/>
      <c r="F89" s="8" t="n"/>
      <c r="G89" s="8" t="n"/>
      <c r="H89" s="7" t="n"/>
      <c r="I89" s="7" t="n"/>
      <c r="J89" s="8" t="n"/>
      <c r="K89" s="8" t="n"/>
      <c r="L89" s="9" t="n"/>
      <c r="M89" s="8" t="n"/>
      <c r="N89" s="8" t="n"/>
      <c r="O89" s="8" t="n"/>
      <c r="P89" s="7" t="n"/>
      <c r="Q89" s="7" t="n"/>
      <c r="R89" s="8" t="n"/>
      <c r="S89" s="8" t="n"/>
      <c r="T89" s="8" t="n"/>
      <c r="U89" s="8" t="n"/>
    </row>
    <row r="90" ht="15.75" customHeight="1" s="34">
      <c r="A90" s="8" t="n"/>
      <c r="B90" s="8" t="n"/>
      <c r="C90" s="8" t="n"/>
      <c r="D90" s="8" t="n"/>
      <c r="E90" s="8" t="n"/>
      <c r="F90" s="8" t="n"/>
      <c r="G90" s="8" t="n"/>
      <c r="H90" s="7" t="n"/>
      <c r="I90" s="7" t="n"/>
      <c r="J90" s="8" t="n"/>
      <c r="K90" s="8" t="n"/>
      <c r="L90" s="9" t="n"/>
      <c r="M90" s="8" t="n"/>
      <c r="N90" s="8" t="n"/>
      <c r="O90" s="8" t="n"/>
      <c r="P90" s="7" t="n"/>
      <c r="Q90" s="7" t="n"/>
      <c r="R90" s="8" t="n"/>
      <c r="S90" s="8" t="n"/>
      <c r="T90" s="8" t="n"/>
      <c r="U90" s="8" t="n"/>
    </row>
    <row r="91" ht="15.75" customHeight="1" s="34">
      <c r="A91" s="8" t="n"/>
      <c r="B91" s="8" t="n"/>
      <c r="C91" s="8" t="n"/>
      <c r="D91" s="8" t="n"/>
      <c r="E91" s="8" t="n"/>
      <c r="F91" s="8" t="n"/>
      <c r="G91" s="8" t="n"/>
      <c r="H91" s="7" t="n"/>
      <c r="I91" s="7" t="n"/>
      <c r="J91" s="8" t="n"/>
      <c r="K91" s="8" t="n"/>
      <c r="L91" s="9" t="n"/>
      <c r="M91" s="8" t="n"/>
      <c r="N91" s="8" t="n"/>
      <c r="O91" s="8" t="n"/>
      <c r="P91" s="7" t="n"/>
      <c r="Q91" s="7" t="n"/>
      <c r="R91" s="8" t="n"/>
      <c r="S91" s="8" t="n"/>
      <c r="T91" s="8" t="n"/>
      <c r="U91" s="8" t="n"/>
    </row>
    <row r="92" ht="15.75" customHeight="1" s="34">
      <c r="A92" s="8" t="n"/>
      <c r="B92" s="8" t="n"/>
      <c r="C92" s="8" t="n"/>
      <c r="D92" s="8" t="n"/>
      <c r="E92" s="8" t="n"/>
      <c r="F92" s="8" t="n"/>
      <c r="G92" s="8" t="n"/>
      <c r="H92" s="7" t="n"/>
      <c r="I92" s="7" t="n"/>
      <c r="J92" s="8" t="n"/>
      <c r="K92" s="8" t="n"/>
      <c r="L92" s="9" t="n"/>
      <c r="M92" s="8" t="n"/>
      <c r="N92" s="8" t="n"/>
      <c r="O92" s="8" t="n"/>
      <c r="P92" s="7" t="n"/>
      <c r="Q92" s="7" t="n"/>
      <c r="R92" s="8" t="n"/>
      <c r="S92" s="8" t="n"/>
      <c r="T92" s="8" t="n"/>
      <c r="U92" s="8" t="n"/>
    </row>
    <row r="93" ht="15.75" customHeight="1" s="34">
      <c r="A93" s="8" t="n"/>
      <c r="B93" s="8" t="n"/>
      <c r="C93" s="8" t="n"/>
      <c r="D93" s="8" t="n"/>
      <c r="E93" s="8" t="n"/>
      <c r="F93" s="8" t="n"/>
      <c r="G93" s="8" t="n"/>
      <c r="H93" s="7" t="n"/>
      <c r="I93" s="7" t="n"/>
      <c r="J93" s="8" t="n"/>
      <c r="K93" s="8" t="n"/>
      <c r="L93" s="9" t="n"/>
      <c r="M93" s="8" t="n"/>
      <c r="N93" s="8" t="n"/>
      <c r="O93" s="8" t="n"/>
      <c r="P93" s="7" t="n"/>
      <c r="Q93" s="7" t="n"/>
      <c r="R93" s="8" t="n"/>
      <c r="S93" s="8" t="n"/>
      <c r="T93" s="8" t="n"/>
      <c r="U93" s="8" t="n"/>
    </row>
    <row r="94" ht="15.75" customHeight="1" s="34">
      <c r="A94" s="8" t="n"/>
      <c r="B94" s="8" t="n"/>
      <c r="C94" s="8" t="n"/>
      <c r="D94" s="8" t="n"/>
      <c r="E94" s="8" t="n"/>
      <c r="F94" s="8" t="n"/>
      <c r="G94" s="8" t="n"/>
      <c r="H94" s="7" t="n"/>
      <c r="I94" s="7" t="n"/>
      <c r="J94" s="8" t="n"/>
      <c r="K94" s="8" t="n"/>
      <c r="L94" s="9" t="n"/>
      <c r="M94" s="8" t="n"/>
      <c r="N94" s="8" t="n"/>
      <c r="O94" s="8" t="n"/>
      <c r="P94" s="7" t="n"/>
      <c r="Q94" s="7" t="n"/>
      <c r="R94" s="8" t="n"/>
      <c r="S94" s="8" t="n"/>
      <c r="T94" s="8" t="n"/>
      <c r="U94" s="8" t="n"/>
    </row>
    <row r="95" ht="15.75" customHeight="1" s="34">
      <c r="A95" s="8" t="n"/>
      <c r="B95" s="8" t="n"/>
      <c r="C95" s="8" t="n"/>
      <c r="D95" s="8" t="n"/>
      <c r="E95" s="8" t="n"/>
      <c r="F95" s="8" t="n"/>
      <c r="G95" s="8" t="n"/>
      <c r="H95" s="7" t="n"/>
      <c r="I95" s="7" t="n"/>
      <c r="J95" s="8" t="n"/>
      <c r="K95" s="8" t="n"/>
      <c r="L95" s="9" t="n"/>
      <c r="M95" s="8" t="n"/>
      <c r="N95" s="8" t="n"/>
      <c r="O95" s="8" t="n"/>
      <c r="P95" s="7" t="n"/>
      <c r="Q95" s="7" t="n"/>
      <c r="R95" s="8" t="n"/>
      <c r="S95" s="8" t="n"/>
      <c r="T95" s="8" t="n"/>
      <c r="U95" s="8" t="n"/>
    </row>
    <row r="96" ht="15.75" customHeight="1" s="34">
      <c r="A96" s="8" t="n"/>
      <c r="B96" s="8" t="n"/>
      <c r="C96" s="8" t="n"/>
      <c r="D96" s="8" t="n"/>
      <c r="E96" s="8" t="n"/>
      <c r="F96" s="8" t="n"/>
      <c r="G96" s="8" t="n"/>
      <c r="H96" s="7" t="n"/>
      <c r="I96" s="7" t="n"/>
      <c r="J96" s="8" t="n"/>
      <c r="K96" s="8" t="n"/>
      <c r="L96" s="9" t="n"/>
      <c r="M96" s="8" t="n"/>
      <c r="N96" s="8" t="n"/>
      <c r="O96" s="8" t="n"/>
      <c r="P96" s="7" t="n"/>
      <c r="Q96" s="7" t="n"/>
      <c r="R96" s="8" t="n"/>
      <c r="S96" s="8" t="n"/>
      <c r="T96" s="8" t="n"/>
      <c r="U96" s="8" t="n"/>
    </row>
    <row r="97" ht="15.75" customHeight="1" s="34">
      <c r="A97" s="8" t="n"/>
      <c r="B97" s="8" t="n"/>
      <c r="C97" s="8" t="n"/>
      <c r="D97" s="8" t="n"/>
      <c r="E97" s="8" t="n"/>
      <c r="F97" s="8" t="n"/>
      <c r="G97" s="8" t="n"/>
      <c r="H97" s="7" t="n"/>
      <c r="I97" s="7" t="n"/>
      <c r="J97" s="8" t="n"/>
      <c r="K97" s="8" t="n"/>
      <c r="L97" s="9" t="n"/>
      <c r="M97" s="8" t="n"/>
      <c r="N97" s="8" t="n"/>
      <c r="O97" s="8" t="n"/>
      <c r="P97" s="7" t="n"/>
      <c r="Q97" s="7" t="n"/>
      <c r="R97" s="8" t="n"/>
      <c r="S97" s="8" t="n"/>
      <c r="T97" s="8" t="n"/>
      <c r="U97" s="8" t="n"/>
    </row>
    <row r="98" ht="15.75" customHeight="1" s="34">
      <c r="A98" s="8" t="n"/>
      <c r="B98" s="8" t="n"/>
      <c r="C98" s="8" t="n"/>
      <c r="D98" s="8" t="n"/>
      <c r="E98" s="8" t="n"/>
      <c r="F98" s="8" t="n"/>
      <c r="G98" s="8" t="n"/>
      <c r="H98" s="7" t="n"/>
      <c r="I98" s="7" t="n"/>
      <c r="J98" s="8" t="n"/>
      <c r="K98" s="8" t="n"/>
      <c r="L98" s="9" t="n"/>
      <c r="M98" s="8" t="n"/>
      <c r="N98" s="8" t="n"/>
      <c r="O98" s="8" t="n"/>
      <c r="P98" s="7" t="n"/>
      <c r="Q98" s="7" t="n"/>
      <c r="R98" s="8" t="n"/>
      <c r="S98" s="8" t="n"/>
      <c r="T98" s="8" t="n"/>
      <c r="U98" s="8" t="n"/>
    </row>
    <row r="99" ht="15.75" customHeight="1" s="34">
      <c r="A99" s="8" t="n"/>
      <c r="B99" s="8" t="n"/>
      <c r="C99" s="8" t="n"/>
      <c r="D99" s="8" t="n"/>
      <c r="E99" s="8" t="n"/>
      <c r="F99" s="8" t="n"/>
      <c r="G99" s="8" t="n"/>
      <c r="H99" s="7" t="n"/>
      <c r="I99" s="7" t="n"/>
      <c r="J99" s="8" t="n"/>
      <c r="K99" s="8" t="n"/>
      <c r="L99" s="9" t="n"/>
      <c r="M99" s="8" t="n"/>
      <c r="N99" s="8" t="n"/>
      <c r="O99" s="8" t="n"/>
      <c r="P99" s="7" t="n"/>
      <c r="Q99" s="7" t="n"/>
      <c r="R99" s="8" t="n"/>
      <c r="S99" s="8" t="n"/>
      <c r="T99" s="8" t="n"/>
      <c r="U99" s="8" t="n"/>
    </row>
    <row r="100" ht="15.75" customHeight="1" s="34">
      <c r="A100" s="8" t="n"/>
      <c r="B100" s="8" t="n"/>
      <c r="C100" s="8" t="n"/>
      <c r="D100" s="8" t="n"/>
      <c r="E100" s="8" t="n"/>
      <c r="F100" s="8" t="n"/>
      <c r="G100" s="8" t="n"/>
      <c r="H100" s="7" t="n"/>
      <c r="I100" s="7" t="n"/>
      <c r="J100" s="8" t="n"/>
      <c r="K100" s="8" t="n"/>
      <c r="L100" s="9" t="n"/>
      <c r="M100" s="8" t="n"/>
      <c r="N100" s="8" t="n"/>
      <c r="O100" s="8" t="n"/>
      <c r="P100" s="7" t="n"/>
      <c r="Q100" s="7" t="n"/>
      <c r="R100" s="8" t="n"/>
      <c r="S100" s="8" t="n"/>
      <c r="T100" s="8" t="n"/>
      <c r="U100" s="8" t="n"/>
    </row>
    <row r="101" ht="15.75" customHeight="1" s="34">
      <c r="A101" s="8" t="n"/>
      <c r="B101" s="8" t="n"/>
      <c r="C101" s="8" t="n"/>
      <c r="D101" s="8" t="n"/>
      <c r="E101" s="8" t="n"/>
      <c r="F101" s="8" t="n"/>
      <c r="G101" s="8" t="n"/>
      <c r="H101" s="7" t="n"/>
      <c r="I101" s="7" t="n"/>
      <c r="J101" s="8" t="n"/>
      <c r="K101" s="8" t="n"/>
      <c r="L101" s="9" t="n"/>
      <c r="M101" s="8" t="n"/>
      <c r="N101" s="8" t="n"/>
      <c r="O101" s="8" t="n"/>
      <c r="P101" s="7" t="n"/>
      <c r="Q101" s="7" t="n"/>
      <c r="R101" s="8" t="n"/>
      <c r="S101" s="8" t="n"/>
      <c r="T101" s="8" t="n"/>
      <c r="U101" s="8" t="n"/>
    </row>
    <row r="102" ht="15.75" customHeight="1" s="34">
      <c r="A102" s="8" t="n"/>
      <c r="B102" s="8" t="n"/>
      <c r="C102" s="8" t="n"/>
      <c r="D102" s="8" t="n"/>
      <c r="E102" s="8" t="n"/>
      <c r="F102" s="8" t="n"/>
      <c r="G102" s="8" t="n"/>
      <c r="H102" s="7" t="n"/>
      <c r="I102" s="7" t="n"/>
      <c r="J102" s="8" t="n"/>
      <c r="K102" s="8" t="n"/>
      <c r="L102" s="9" t="n"/>
      <c r="M102" s="8" t="n"/>
      <c r="N102" s="8" t="n"/>
      <c r="O102" s="8" t="n"/>
      <c r="P102" s="7" t="n"/>
      <c r="Q102" s="7" t="n"/>
      <c r="R102" s="8" t="n"/>
      <c r="S102" s="8" t="n"/>
      <c r="T102" s="8" t="n"/>
      <c r="U102" s="8" t="n"/>
    </row>
    <row r="103" ht="15.75" customHeight="1" s="34">
      <c r="A103" s="8" t="n"/>
      <c r="B103" s="8" t="n"/>
      <c r="C103" s="8" t="n"/>
      <c r="D103" s="8" t="n"/>
      <c r="E103" s="8" t="n"/>
      <c r="F103" s="8" t="n"/>
      <c r="G103" s="8" t="n"/>
      <c r="H103" s="7" t="n"/>
      <c r="I103" s="7" t="n"/>
      <c r="J103" s="8" t="n"/>
      <c r="K103" s="8" t="n"/>
      <c r="L103" s="9" t="n"/>
      <c r="M103" s="8" t="n"/>
      <c r="N103" s="8" t="n"/>
      <c r="O103" s="8" t="n"/>
      <c r="P103" s="7" t="n"/>
      <c r="Q103" s="7" t="n"/>
      <c r="R103" s="8" t="n"/>
      <c r="S103" s="8" t="n"/>
      <c r="T103" s="8" t="n"/>
      <c r="U103" s="8" t="n"/>
    </row>
    <row r="104" ht="15.75" customHeight="1" s="34">
      <c r="A104" s="8" t="n"/>
      <c r="B104" s="8" t="n"/>
      <c r="C104" s="8" t="n"/>
      <c r="D104" s="8" t="n"/>
      <c r="E104" s="8" t="n"/>
      <c r="F104" s="8" t="n"/>
      <c r="G104" s="8" t="n"/>
      <c r="H104" s="7" t="n"/>
      <c r="I104" s="7" t="n"/>
      <c r="J104" s="8" t="n"/>
      <c r="K104" s="8" t="n"/>
      <c r="L104" s="9" t="n"/>
      <c r="M104" s="8" t="n"/>
      <c r="N104" s="8" t="n"/>
      <c r="O104" s="8" t="n"/>
      <c r="P104" s="7" t="n"/>
      <c r="Q104" s="7" t="n"/>
      <c r="R104" s="8" t="n"/>
      <c r="S104" s="8" t="n"/>
      <c r="T104" s="8" t="n"/>
      <c r="U104" s="8" t="n"/>
    </row>
    <row r="105" ht="15.75" customHeight="1" s="34">
      <c r="A105" s="8" t="n"/>
      <c r="B105" s="8" t="n"/>
      <c r="C105" s="8" t="n"/>
      <c r="D105" s="8" t="n"/>
      <c r="E105" s="8" t="n"/>
      <c r="F105" s="8" t="n"/>
      <c r="G105" s="8" t="n"/>
      <c r="H105" s="7" t="n"/>
      <c r="I105" s="7" t="n"/>
      <c r="J105" s="8" t="n"/>
      <c r="K105" s="8" t="n"/>
      <c r="L105" s="9" t="n"/>
      <c r="M105" s="8" t="n"/>
      <c r="N105" s="8" t="n"/>
      <c r="O105" s="8" t="n"/>
      <c r="P105" s="7" t="n"/>
      <c r="Q105" s="7" t="n"/>
      <c r="R105" s="8" t="n"/>
      <c r="S105" s="8" t="n"/>
      <c r="T105" s="8" t="n"/>
      <c r="U105" s="8" t="n"/>
    </row>
    <row r="106" ht="15.75" customHeight="1" s="34">
      <c r="A106" s="8" t="n"/>
      <c r="B106" s="8" t="n"/>
      <c r="C106" s="8" t="n"/>
      <c r="D106" s="8" t="n"/>
      <c r="E106" s="8" t="n"/>
      <c r="F106" s="8" t="n"/>
      <c r="G106" s="8" t="n"/>
      <c r="H106" s="7" t="n"/>
      <c r="I106" s="7" t="n"/>
      <c r="J106" s="8" t="n"/>
      <c r="K106" s="8" t="n"/>
      <c r="L106" s="9" t="n"/>
      <c r="M106" s="8" t="n"/>
      <c r="N106" s="8" t="n"/>
      <c r="O106" s="8" t="n"/>
      <c r="P106" s="7" t="n"/>
      <c r="Q106" s="7" t="n"/>
      <c r="R106" s="8" t="n"/>
      <c r="S106" s="8" t="n"/>
      <c r="T106" s="8" t="n"/>
      <c r="U106" s="8" t="n"/>
    </row>
    <row r="107" ht="15.75" customHeight="1" s="34">
      <c r="A107" s="8" t="n"/>
      <c r="B107" s="8" t="n"/>
      <c r="C107" s="8" t="n"/>
      <c r="D107" s="8" t="n"/>
      <c r="E107" s="8" t="n"/>
      <c r="F107" s="8" t="n"/>
      <c r="G107" s="8" t="n"/>
      <c r="H107" s="7" t="n"/>
      <c r="I107" s="7" t="n"/>
      <c r="J107" s="8" t="n"/>
      <c r="K107" s="8" t="n"/>
      <c r="L107" s="9" t="n"/>
      <c r="M107" s="8" t="n"/>
      <c r="N107" s="8" t="n"/>
      <c r="O107" s="8" t="n"/>
      <c r="P107" s="7" t="n"/>
      <c r="Q107" s="7" t="n"/>
      <c r="R107" s="8" t="n"/>
      <c r="S107" s="8" t="n"/>
      <c r="T107" s="8" t="n"/>
      <c r="U107" s="8" t="n"/>
    </row>
    <row r="108" ht="15.75" customHeight="1" s="34">
      <c r="A108" s="8" t="n"/>
      <c r="B108" s="8" t="n"/>
      <c r="C108" s="8" t="n"/>
      <c r="D108" s="8" t="n"/>
      <c r="E108" s="8" t="n"/>
      <c r="F108" s="8" t="n"/>
      <c r="G108" s="8" t="n"/>
      <c r="H108" s="7" t="n"/>
      <c r="I108" s="7" t="n"/>
      <c r="J108" s="8" t="n"/>
      <c r="K108" s="8" t="n"/>
      <c r="L108" s="9" t="n"/>
      <c r="M108" s="8" t="n"/>
      <c r="N108" s="8" t="n"/>
      <c r="O108" s="8" t="n"/>
      <c r="P108" s="7" t="n"/>
      <c r="Q108" s="7" t="n"/>
      <c r="R108" s="8" t="n"/>
      <c r="S108" s="8" t="n"/>
      <c r="T108" s="8" t="n"/>
      <c r="U108" s="8" t="n"/>
    </row>
    <row r="109" ht="15.75" customHeight="1" s="34">
      <c r="A109" s="8" t="n"/>
      <c r="B109" s="8" t="n"/>
      <c r="C109" s="8" t="n"/>
      <c r="D109" s="8" t="n"/>
      <c r="E109" s="8" t="n"/>
      <c r="F109" s="8" t="n"/>
      <c r="G109" s="8" t="n"/>
      <c r="H109" s="7" t="n"/>
      <c r="I109" s="7" t="n"/>
      <c r="J109" s="8" t="n"/>
      <c r="K109" s="8" t="n"/>
      <c r="L109" s="9" t="n"/>
      <c r="M109" s="8" t="n"/>
      <c r="N109" s="8" t="n"/>
      <c r="O109" s="8" t="n"/>
      <c r="P109" s="7" t="n"/>
      <c r="Q109" s="7" t="n"/>
      <c r="R109" s="8" t="n"/>
      <c r="S109" s="8" t="n"/>
      <c r="T109" s="8" t="n"/>
      <c r="U109" s="8" t="n"/>
    </row>
    <row r="110" ht="15.75" customHeight="1" s="34">
      <c r="A110" s="8" t="n"/>
      <c r="B110" s="8" t="n"/>
      <c r="C110" s="8" t="n"/>
      <c r="D110" s="8" t="n"/>
      <c r="E110" s="8" t="n"/>
      <c r="F110" s="8" t="n"/>
      <c r="G110" s="8" t="n"/>
      <c r="H110" s="7" t="n"/>
      <c r="I110" s="7" t="n"/>
      <c r="J110" s="8" t="n"/>
      <c r="K110" s="8" t="n"/>
      <c r="L110" s="9" t="n"/>
      <c r="M110" s="8" t="n"/>
      <c r="N110" s="8" t="n"/>
      <c r="O110" s="8" t="n"/>
      <c r="P110" s="7" t="n"/>
      <c r="Q110" s="7" t="n"/>
      <c r="R110" s="8" t="n"/>
      <c r="S110" s="8" t="n"/>
      <c r="T110" s="8" t="n"/>
      <c r="U110" s="8" t="n"/>
    </row>
    <row r="111" ht="15.75" customHeight="1" s="34">
      <c r="A111" s="8" t="n"/>
      <c r="B111" s="8" t="n"/>
      <c r="C111" s="8" t="n"/>
      <c r="D111" s="8" t="n"/>
      <c r="E111" s="8" t="n"/>
      <c r="F111" s="8" t="n"/>
      <c r="G111" s="8" t="n"/>
      <c r="H111" s="7" t="n"/>
      <c r="I111" s="7" t="n"/>
      <c r="J111" s="8" t="n"/>
      <c r="K111" s="8" t="n"/>
      <c r="L111" s="9" t="n"/>
      <c r="M111" s="8" t="n"/>
      <c r="N111" s="8" t="n"/>
      <c r="O111" s="8" t="n"/>
      <c r="P111" s="7" t="n"/>
      <c r="Q111" s="7" t="n"/>
      <c r="R111" s="8" t="n"/>
      <c r="S111" s="8" t="n"/>
      <c r="T111" s="8" t="n"/>
      <c r="U111" s="8" t="n"/>
    </row>
    <row r="112" ht="15.75" customHeight="1" s="34">
      <c r="A112" s="8" t="n"/>
      <c r="B112" s="8" t="n"/>
      <c r="C112" s="8" t="n"/>
      <c r="D112" s="8" t="n"/>
      <c r="E112" s="8" t="n"/>
      <c r="F112" s="8" t="n"/>
      <c r="G112" s="8" t="n"/>
      <c r="H112" s="7" t="n"/>
      <c r="I112" s="7" t="n"/>
      <c r="J112" s="8" t="n"/>
      <c r="K112" s="8" t="n"/>
      <c r="L112" s="9" t="n"/>
      <c r="M112" s="8" t="n"/>
      <c r="N112" s="8" t="n"/>
      <c r="O112" s="8" t="n"/>
      <c r="P112" s="7" t="n"/>
      <c r="Q112" s="7" t="n"/>
      <c r="R112" s="8" t="n"/>
      <c r="S112" s="8" t="n"/>
      <c r="T112" s="8" t="n"/>
      <c r="U112" s="8" t="n"/>
    </row>
    <row r="113" ht="15.75" customHeight="1" s="34">
      <c r="A113" s="8" t="n"/>
      <c r="B113" s="8" t="n"/>
      <c r="C113" s="8" t="n"/>
      <c r="D113" s="8" t="n"/>
      <c r="E113" s="8" t="n"/>
      <c r="F113" s="8" t="n"/>
      <c r="G113" s="8" t="n"/>
      <c r="H113" s="7" t="n"/>
      <c r="I113" s="7" t="n"/>
      <c r="J113" s="8" t="n"/>
      <c r="K113" s="8" t="n"/>
      <c r="L113" s="9" t="n"/>
      <c r="M113" s="8" t="n"/>
      <c r="N113" s="8" t="n"/>
      <c r="O113" s="8" t="n"/>
      <c r="P113" s="7" t="n"/>
      <c r="Q113" s="7" t="n"/>
      <c r="R113" s="8" t="n"/>
      <c r="S113" s="8" t="n"/>
      <c r="T113" s="8" t="n"/>
      <c r="U113" s="8" t="n"/>
    </row>
    <row r="114" ht="15.75" customHeight="1" s="34">
      <c r="A114" s="8" t="n"/>
      <c r="B114" s="8" t="n"/>
      <c r="C114" s="8" t="n"/>
      <c r="D114" s="8" t="n"/>
      <c r="E114" s="8" t="n"/>
      <c r="F114" s="8" t="n"/>
      <c r="G114" s="8" t="n"/>
      <c r="H114" s="7" t="n"/>
      <c r="I114" s="7" t="n"/>
      <c r="J114" s="8" t="n"/>
      <c r="K114" s="8" t="n"/>
      <c r="L114" s="9" t="n"/>
      <c r="M114" s="8" t="n"/>
      <c r="N114" s="8" t="n"/>
      <c r="O114" s="8" t="n"/>
      <c r="P114" s="7" t="n"/>
      <c r="Q114" s="7" t="n"/>
      <c r="R114" s="8" t="n"/>
      <c r="S114" s="8" t="n"/>
      <c r="T114" s="8" t="n"/>
      <c r="U114" s="8" t="n"/>
    </row>
    <row r="115" ht="15.75" customHeight="1" s="34">
      <c r="A115" s="8" t="n"/>
      <c r="B115" s="8" t="n"/>
      <c r="C115" s="8" t="n"/>
      <c r="D115" s="8" t="n"/>
      <c r="E115" s="8" t="n"/>
      <c r="F115" s="8" t="n"/>
      <c r="G115" s="8" t="n"/>
      <c r="H115" s="7" t="n"/>
      <c r="I115" s="7" t="n"/>
      <c r="J115" s="8" t="n"/>
      <c r="K115" s="8" t="n"/>
      <c r="L115" s="9" t="n"/>
      <c r="M115" s="8" t="n"/>
      <c r="N115" s="8" t="n"/>
      <c r="O115" s="8" t="n"/>
      <c r="P115" s="7" t="n"/>
      <c r="Q115" s="7" t="n"/>
      <c r="R115" s="8" t="n"/>
      <c r="S115" s="8" t="n"/>
      <c r="T115" s="8" t="n"/>
      <c r="U115" s="8" t="n"/>
    </row>
    <row r="116" ht="15.75" customHeight="1" s="34">
      <c r="A116" s="8" t="n"/>
      <c r="B116" s="8" t="n"/>
      <c r="C116" s="8" t="n"/>
      <c r="D116" s="8" t="n"/>
      <c r="E116" s="8" t="n"/>
      <c r="F116" s="8" t="n"/>
      <c r="G116" s="8" t="n"/>
      <c r="H116" s="7" t="n"/>
      <c r="I116" s="7" t="n"/>
      <c r="J116" s="8" t="n"/>
      <c r="K116" s="8" t="n"/>
      <c r="L116" s="9" t="n"/>
      <c r="M116" s="8" t="n"/>
      <c r="N116" s="8" t="n"/>
      <c r="O116" s="8" t="n"/>
      <c r="P116" s="7" t="n"/>
      <c r="Q116" s="7" t="n"/>
      <c r="R116" s="8" t="n"/>
      <c r="S116" s="8" t="n"/>
      <c r="T116" s="8" t="n"/>
      <c r="U116" s="8" t="n"/>
    </row>
    <row r="117" ht="15.75" customHeight="1" s="34">
      <c r="A117" s="8" t="n"/>
      <c r="B117" s="8" t="n"/>
      <c r="C117" s="8" t="n"/>
      <c r="D117" s="8" t="n"/>
      <c r="E117" s="8" t="n"/>
      <c r="F117" s="8" t="n"/>
      <c r="G117" s="8" t="n"/>
      <c r="H117" s="7" t="n"/>
      <c r="I117" s="7" t="n"/>
      <c r="J117" s="8" t="n"/>
      <c r="K117" s="8" t="n"/>
      <c r="L117" s="9" t="n"/>
      <c r="M117" s="8" t="n"/>
      <c r="N117" s="8" t="n"/>
      <c r="O117" s="8" t="n"/>
      <c r="P117" s="7" t="n"/>
      <c r="Q117" s="7" t="n"/>
      <c r="R117" s="8" t="n"/>
      <c r="S117" s="8" t="n"/>
      <c r="T117" s="8" t="n"/>
      <c r="U117" s="8" t="n"/>
    </row>
    <row r="118" ht="15.75" customHeight="1" s="34">
      <c r="A118" s="8" t="n"/>
      <c r="B118" s="8" t="n"/>
      <c r="C118" s="8" t="n"/>
      <c r="D118" s="8" t="n"/>
      <c r="E118" s="8" t="n"/>
      <c r="F118" s="8" t="n"/>
      <c r="G118" s="8" t="n"/>
      <c r="H118" s="7" t="n"/>
      <c r="I118" s="7" t="n"/>
      <c r="J118" s="8" t="n"/>
      <c r="K118" s="8" t="n"/>
      <c r="L118" s="9" t="n"/>
      <c r="M118" s="8" t="n"/>
      <c r="N118" s="8" t="n"/>
      <c r="O118" s="8" t="n"/>
      <c r="P118" s="7" t="n"/>
      <c r="Q118" s="7" t="n"/>
      <c r="R118" s="8" t="n"/>
      <c r="S118" s="8" t="n"/>
      <c r="T118" s="8" t="n"/>
      <c r="U118" s="8" t="n"/>
    </row>
    <row r="119" ht="15.75" customHeight="1" s="34">
      <c r="A119" s="8" t="n"/>
      <c r="B119" s="8" t="n"/>
      <c r="C119" s="8" t="n"/>
      <c r="D119" s="8" t="n"/>
      <c r="E119" s="8" t="n"/>
      <c r="F119" s="8" t="n"/>
      <c r="G119" s="8" t="n"/>
      <c r="H119" s="7" t="n"/>
      <c r="I119" s="7" t="n"/>
      <c r="J119" s="8" t="n"/>
      <c r="K119" s="8" t="n"/>
      <c r="L119" s="9" t="n"/>
      <c r="M119" s="8" t="n"/>
      <c r="N119" s="8" t="n"/>
      <c r="O119" s="8" t="n"/>
      <c r="P119" s="7" t="n"/>
      <c r="Q119" s="7" t="n"/>
      <c r="R119" s="8" t="n"/>
      <c r="S119" s="8" t="n"/>
      <c r="T119" s="8" t="n"/>
      <c r="U119" s="8" t="n"/>
    </row>
    <row r="120" ht="15.75" customHeight="1" s="34">
      <c r="A120" s="8" t="n"/>
      <c r="B120" s="8" t="n"/>
      <c r="C120" s="8" t="n"/>
      <c r="D120" s="8" t="n"/>
      <c r="E120" s="8" t="n"/>
      <c r="F120" s="8" t="n"/>
      <c r="G120" s="8" t="n"/>
      <c r="H120" s="7" t="n"/>
      <c r="I120" s="7" t="n"/>
      <c r="J120" s="8" t="n"/>
      <c r="K120" s="8" t="n"/>
      <c r="L120" s="9" t="n"/>
      <c r="M120" s="8" t="n"/>
      <c r="N120" s="8" t="n"/>
      <c r="O120" s="8" t="n"/>
      <c r="P120" s="7" t="n"/>
      <c r="Q120" s="7" t="n"/>
      <c r="R120" s="8" t="n"/>
      <c r="S120" s="8" t="n"/>
      <c r="T120" s="8" t="n"/>
      <c r="U120" s="8" t="n"/>
    </row>
    <row r="121" ht="15.75" customHeight="1" s="34">
      <c r="A121" s="8" t="n"/>
      <c r="B121" s="8" t="n"/>
      <c r="C121" s="8" t="n"/>
      <c r="D121" s="8" t="n"/>
      <c r="E121" s="8" t="n"/>
      <c r="F121" s="8" t="n"/>
      <c r="G121" s="8" t="n"/>
      <c r="H121" s="7" t="n"/>
      <c r="I121" s="7" t="n"/>
      <c r="J121" s="8" t="n"/>
      <c r="K121" s="8" t="n"/>
      <c r="L121" s="9" t="n"/>
      <c r="M121" s="8" t="n"/>
      <c r="N121" s="8" t="n"/>
      <c r="O121" s="8" t="n"/>
      <c r="P121" s="7" t="n"/>
      <c r="Q121" s="7" t="n"/>
      <c r="R121" s="8" t="n"/>
      <c r="S121" s="8" t="n"/>
      <c r="T121" s="8" t="n"/>
      <c r="U121" s="8" t="n"/>
    </row>
    <row r="122" ht="15.75" customHeight="1" s="34">
      <c r="A122" s="8" t="n"/>
      <c r="B122" s="8" t="n"/>
      <c r="C122" s="8" t="n"/>
      <c r="D122" s="8" t="n"/>
      <c r="E122" s="8" t="n"/>
      <c r="F122" s="8" t="n"/>
      <c r="G122" s="8" t="n"/>
      <c r="H122" s="7" t="n"/>
      <c r="I122" s="7" t="n"/>
      <c r="J122" s="8" t="n"/>
      <c r="K122" s="8" t="n"/>
      <c r="L122" s="9" t="n"/>
      <c r="M122" s="8" t="n"/>
      <c r="N122" s="8" t="n"/>
      <c r="O122" s="8" t="n"/>
      <c r="P122" s="7" t="n"/>
      <c r="Q122" s="7" t="n"/>
      <c r="R122" s="8" t="n"/>
      <c r="S122" s="8" t="n"/>
      <c r="T122" s="8" t="n"/>
      <c r="U122" s="8" t="n"/>
    </row>
    <row r="123" ht="15.75" customHeight="1" s="34">
      <c r="A123" s="8" t="n"/>
      <c r="B123" s="8" t="n"/>
      <c r="C123" s="8" t="n"/>
      <c r="D123" s="8" t="n"/>
      <c r="E123" s="8" t="n"/>
      <c r="F123" s="8" t="n"/>
      <c r="G123" s="8" t="n"/>
      <c r="H123" s="7" t="n"/>
      <c r="I123" s="7" t="n"/>
      <c r="J123" s="8" t="n"/>
      <c r="K123" s="8" t="n"/>
      <c r="L123" s="9" t="n"/>
      <c r="M123" s="8" t="n"/>
      <c r="N123" s="8" t="n"/>
      <c r="O123" s="8" t="n"/>
      <c r="P123" s="7" t="n"/>
      <c r="Q123" s="7" t="n"/>
      <c r="R123" s="8" t="n"/>
      <c r="S123" s="8" t="n"/>
      <c r="T123" s="8" t="n"/>
      <c r="U123" s="8" t="n"/>
    </row>
    <row r="124" ht="15.75" customHeight="1" s="34">
      <c r="A124" s="8" t="n"/>
      <c r="B124" s="8" t="n"/>
      <c r="C124" s="8" t="n"/>
      <c r="D124" s="8" t="n"/>
      <c r="E124" s="8" t="n"/>
      <c r="F124" s="8" t="n"/>
      <c r="G124" s="8" t="n"/>
      <c r="H124" s="7" t="n"/>
      <c r="I124" s="7" t="n"/>
      <c r="J124" s="8" t="n"/>
      <c r="K124" s="8" t="n"/>
      <c r="L124" s="9" t="n"/>
      <c r="M124" s="8" t="n"/>
      <c r="N124" s="8" t="n"/>
      <c r="O124" s="8" t="n"/>
      <c r="P124" s="7" t="n"/>
      <c r="Q124" s="7" t="n"/>
      <c r="R124" s="8" t="n"/>
      <c r="S124" s="8" t="n"/>
      <c r="T124" s="8" t="n"/>
      <c r="U124" s="8" t="n"/>
    </row>
    <row r="125" ht="15.75" customHeight="1" s="34">
      <c r="A125" s="8" t="n"/>
      <c r="B125" s="8" t="n"/>
      <c r="C125" s="8" t="n"/>
      <c r="D125" s="8" t="n"/>
      <c r="E125" s="8" t="n"/>
      <c r="F125" s="8" t="n"/>
      <c r="G125" s="8" t="n"/>
      <c r="H125" s="7" t="n"/>
      <c r="I125" s="7" t="n"/>
      <c r="J125" s="8" t="n"/>
      <c r="K125" s="8" t="n"/>
      <c r="L125" s="9" t="n"/>
      <c r="M125" s="8" t="n"/>
      <c r="N125" s="8" t="n"/>
      <c r="O125" s="8" t="n"/>
      <c r="P125" s="7" t="n"/>
      <c r="Q125" s="7" t="n"/>
      <c r="R125" s="8" t="n"/>
      <c r="S125" s="8" t="n"/>
      <c r="T125" s="8" t="n"/>
      <c r="U125" s="8" t="n"/>
    </row>
    <row r="126" ht="15.75" customHeight="1" s="34">
      <c r="A126" s="8" t="n"/>
      <c r="B126" s="8" t="n"/>
      <c r="C126" s="8" t="n"/>
      <c r="D126" s="8" t="n"/>
      <c r="E126" s="8" t="n"/>
      <c r="F126" s="8" t="n"/>
      <c r="G126" s="8" t="n"/>
      <c r="H126" s="7" t="n"/>
      <c r="I126" s="7" t="n"/>
      <c r="J126" s="8" t="n"/>
      <c r="K126" s="8" t="n"/>
      <c r="L126" s="9" t="n"/>
      <c r="M126" s="8" t="n"/>
      <c r="N126" s="8" t="n"/>
      <c r="O126" s="8" t="n"/>
      <c r="P126" s="7" t="n"/>
      <c r="Q126" s="7" t="n"/>
      <c r="R126" s="8" t="n"/>
      <c r="S126" s="8" t="n"/>
      <c r="T126" s="8" t="n"/>
      <c r="U126" s="8" t="n"/>
    </row>
    <row r="127" ht="15.75" customHeight="1" s="34">
      <c r="A127" s="8" t="n"/>
      <c r="B127" s="8" t="n"/>
      <c r="C127" s="8" t="n"/>
      <c r="D127" s="8" t="n"/>
      <c r="E127" s="8" t="n"/>
      <c r="F127" s="8" t="n"/>
      <c r="G127" s="8" t="n"/>
      <c r="H127" s="7" t="n"/>
      <c r="I127" s="7" t="n"/>
      <c r="J127" s="8" t="n"/>
      <c r="K127" s="8" t="n"/>
      <c r="L127" s="9" t="n"/>
      <c r="M127" s="8" t="n"/>
      <c r="N127" s="8" t="n"/>
      <c r="O127" s="8" t="n"/>
      <c r="P127" s="7" t="n"/>
      <c r="Q127" s="7" t="n"/>
      <c r="R127" s="8" t="n"/>
      <c r="S127" s="8" t="n"/>
      <c r="T127" s="8" t="n"/>
      <c r="U127" s="8" t="n"/>
    </row>
    <row r="128" ht="15.75" customHeight="1" s="34">
      <c r="A128" s="8" t="n"/>
      <c r="B128" s="8" t="n"/>
      <c r="C128" s="8" t="n"/>
      <c r="D128" s="8" t="n"/>
      <c r="E128" s="8" t="n"/>
      <c r="F128" s="8" t="n"/>
      <c r="G128" s="8" t="n"/>
      <c r="H128" s="7" t="n"/>
      <c r="I128" s="7" t="n"/>
      <c r="J128" s="8" t="n"/>
      <c r="K128" s="8" t="n"/>
      <c r="L128" s="9" t="n"/>
      <c r="M128" s="8" t="n"/>
      <c r="N128" s="8" t="n"/>
      <c r="O128" s="8" t="n"/>
      <c r="P128" s="7" t="n"/>
      <c r="Q128" s="7" t="n"/>
      <c r="R128" s="8" t="n"/>
      <c r="S128" s="8" t="n"/>
      <c r="T128" s="8" t="n"/>
      <c r="U128" s="8" t="n"/>
    </row>
    <row r="129" ht="15.75" customHeight="1" s="34">
      <c r="A129" s="8" t="n"/>
      <c r="B129" s="8" t="n"/>
      <c r="C129" s="8" t="n"/>
      <c r="D129" s="8" t="n"/>
      <c r="E129" s="8" t="n"/>
      <c r="F129" s="8" t="n"/>
      <c r="G129" s="8" t="n"/>
      <c r="H129" s="7" t="n"/>
      <c r="I129" s="7" t="n"/>
      <c r="J129" s="8" t="n"/>
      <c r="K129" s="8" t="n"/>
      <c r="L129" s="9" t="n"/>
      <c r="M129" s="8" t="n"/>
      <c r="N129" s="8" t="n"/>
      <c r="O129" s="8" t="n"/>
      <c r="P129" s="7" t="n"/>
      <c r="Q129" s="7" t="n"/>
      <c r="R129" s="8" t="n"/>
      <c r="S129" s="8" t="n"/>
      <c r="T129" s="8" t="n"/>
      <c r="U129" s="8" t="n"/>
    </row>
    <row r="130" ht="15.75" customHeight="1" s="34">
      <c r="A130" s="8" t="n"/>
      <c r="B130" s="8" t="n"/>
      <c r="C130" s="8" t="n"/>
      <c r="D130" s="8" t="n"/>
      <c r="E130" s="8" t="n"/>
      <c r="F130" s="8" t="n"/>
      <c r="G130" s="8" t="n"/>
      <c r="H130" s="7" t="n"/>
      <c r="I130" s="7" t="n"/>
      <c r="J130" s="8" t="n"/>
      <c r="K130" s="8" t="n"/>
      <c r="L130" s="9" t="n"/>
      <c r="M130" s="8" t="n"/>
      <c r="N130" s="8" t="n"/>
      <c r="O130" s="8" t="n"/>
      <c r="P130" s="7" t="n"/>
      <c r="Q130" s="7" t="n"/>
      <c r="R130" s="8" t="n"/>
      <c r="S130" s="8" t="n"/>
      <c r="T130" s="8" t="n"/>
      <c r="U130" s="8" t="n"/>
    </row>
    <row r="131" ht="15.75" customHeight="1" s="34">
      <c r="A131" s="8" t="n"/>
      <c r="B131" s="8" t="n"/>
      <c r="C131" s="8" t="n"/>
      <c r="D131" s="8" t="n"/>
      <c r="E131" s="8" t="n"/>
      <c r="F131" s="8" t="n"/>
      <c r="G131" s="8" t="n"/>
      <c r="H131" s="7" t="n"/>
      <c r="I131" s="7" t="n"/>
      <c r="J131" s="8" t="n"/>
      <c r="K131" s="8" t="n"/>
      <c r="L131" s="9" t="n"/>
      <c r="M131" s="8" t="n"/>
      <c r="N131" s="8" t="n"/>
      <c r="O131" s="8" t="n"/>
      <c r="P131" s="7" t="n"/>
      <c r="Q131" s="7" t="n"/>
      <c r="R131" s="8" t="n"/>
      <c r="S131" s="8" t="n"/>
      <c r="T131" s="8" t="n"/>
      <c r="U131" s="8" t="n"/>
    </row>
    <row r="132" ht="15.75" customHeight="1" s="34">
      <c r="A132" s="8" t="n"/>
      <c r="B132" s="8" t="n"/>
      <c r="C132" s="8" t="n"/>
      <c r="D132" s="8" t="n"/>
      <c r="E132" s="8" t="n"/>
      <c r="F132" s="8" t="n"/>
      <c r="G132" s="8" t="n"/>
      <c r="H132" s="7" t="n"/>
      <c r="I132" s="7" t="n"/>
      <c r="J132" s="8" t="n"/>
      <c r="K132" s="8" t="n"/>
      <c r="L132" s="9" t="n"/>
      <c r="M132" s="8" t="n"/>
      <c r="N132" s="8" t="n"/>
      <c r="O132" s="8" t="n"/>
      <c r="P132" s="7" t="n"/>
      <c r="Q132" s="7" t="n"/>
      <c r="R132" s="8" t="n"/>
      <c r="S132" s="8" t="n"/>
      <c r="T132" s="8" t="n"/>
      <c r="U132" s="8" t="n"/>
    </row>
    <row r="133" ht="15.75" customHeight="1" s="34">
      <c r="A133" s="8" t="n"/>
      <c r="B133" s="8" t="n"/>
      <c r="C133" s="8" t="n"/>
      <c r="D133" s="8" t="n"/>
      <c r="E133" s="8" t="n"/>
      <c r="F133" s="8" t="n"/>
      <c r="G133" s="8" t="n"/>
      <c r="H133" s="7" t="n"/>
      <c r="I133" s="7" t="n"/>
      <c r="J133" s="8" t="n"/>
      <c r="K133" s="8" t="n"/>
      <c r="L133" s="9" t="n"/>
      <c r="M133" s="8" t="n"/>
      <c r="N133" s="8" t="n"/>
      <c r="O133" s="8" t="n"/>
      <c r="P133" s="7" t="n"/>
      <c r="Q133" s="7" t="n"/>
      <c r="R133" s="8" t="n"/>
      <c r="S133" s="8" t="n"/>
      <c r="T133" s="8" t="n"/>
      <c r="U133" s="8" t="n"/>
    </row>
    <row r="134" ht="15.75" customHeight="1" s="34">
      <c r="A134" s="8" t="n"/>
      <c r="B134" s="8" t="n"/>
      <c r="C134" s="8" t="n"/>
      <c r="D134" s="8" t="n"/>
      <c r="E134" s="8" t="n"/>
      <c r="F134" s="8" t="n"/>
      <c r="G134" s="8" t="n"/>
      <c r="H134" s="7" t="n"/>
      <c r="I134" s="7" t="n"/>
      <c r="J134" s="8" t="n"/>
      <c r="K134" s="8" t="n"/>
      <c r="L134" s="9" t="n"/>
      <c r="M134" s="8" t="n"/>
      <c r="N134" s="8" t="n"/>
      <c r="O134" s="8" t="n"/>
      <c r="P134" s="7" t="n"/>
      <c r="Q134" s="7" t="n"/>
      <c r="R134" s="8" t="n"/>
      <c r="S134" s="8" t="n"/>
      <c r="T134" s="8" t="n"/>
      <c r="U134" s="8" t="n"/>
    </row>
    <row r="135" ht="15.75" customHeight="1" s="34">
      <c r="A135" s="8" t="n"/>
      <c r="B135" s="8" t="n"/>
      <c r="C135" s="8" t="n"/>
      <c r="D135" s="8" t="n"/>
      <c r="E135" s="8" t="n"/>
      <c r="F135" s="8" t="n"/>
      <c r="G135" s="8" t="n"/>
      <c r="H135" s="7" t="n"/>
      <c r="I135" s="7" t="n"/>
      <c r="J135" s="8" t="n"/>
      <c r="K135" s="8" t="n"/>
      <c r="L135" s="9" t="n"/>
      <c r="M135" s="8" t="n"/>
      <c r="N135" s="8" t="n"/>
      <c r="O135" s="8" t="n"/>
      <c r="P135" s="7" t="n"/>
      <c r="Q135" s="7" t="n"/>
      <c r="R135" s="8" t="n"/>
      <c r="S135" s="8" t="n"/>
      <c r="T135" s="8" t="n"/>
      <c r="U135" s="8" t="n"/>
    </row>
    <row r="136" ht="15.75" customHeight="1" s="34">
      <c r="A136" s="8" t="n"/>
      <c r="B136" s="8" t="n"/>
      <c r="C136" s="8" t="n"/>
      <c r="D136" s="8" t="n"/>
      <c r="E136" s="8" t="n"/>
      <c r="F136" s="8" t="n"/>
      <c r="G136" s="8" t="n"/>
      <c r="H136" s="7" t="n"/>
      <c r="I136" s="7" t="n"/>
      <c r="J136" s="8" t="n"/>
      <c r="K136" s="8" t="n"/>
      <c r="L136" s="9" t="n"/>
      <c r="M136" s="8" t="n"/>
      <c r="N136" s="8" t="n"/>
      <c r="O136" s="8" t="n"/>
      <c r="P136" s="7" t="n"/>
      <c r="Q136" s="7" t="n"/>
      <c r="R136" s="8" t="n"/>
      <c r="S136" s="8" t="n"/>
      <c r="T136" s="8" t="n"/>
      <c r="U136" s="8" t="n"/>
    </row>
    <row r="137" ht="15.75" customHeight="1" s="34">
      <c r="A137" s="8" t="n"/>
      <c r="B137" s="8" t="n"/>
      <c r="C137" s="8" t="n"/>
      <c r="D137" s="8" t="n"/>
      <c r="E137" s="8" t="n"/>
      <c r="F137" s="8" t="n"/>
      <c r="G137" s="8" t="n"/>
      <c r="H137" s="7" t="n"/>
      <c r="I137" s="7" t="n"/>
      <c r="J137" s="8" t="n"/>
      <c r="K137" s="8" t="n"/>
      <c r="L137" s="9" t="n"/>
      <c r="M137" s="8" t="n"/>
      <c r="N137" s="8" t="n"/>
      <c r="O137" s="8" t="n"/>
      <c r="P137" s="7" t="n"/>
      <c r="Q137" s="7" t="n"/>
      <c r="R137" s="8" t="n"/>
      <c r="S137" s="8" t="n"/>
      <c r="T137" s="8" t="n"/>
      <c r="U137" s="8" t="n"/>
    </row>
    <row r="138" ht="15.75" customHeight="1" s="34">
      <c r="A138" s="8" t="n"/>
      <c r="B138" s="8" t="n"/>
      <c r="C138" s="8" t="n"/>
      <c r="D138" s="8" t="n"/>
      <c r="E138" s="8" t="n"/>
      <c r="F138" s="8" t="n"/>
      <c r="G138" s="8" t="n"/>
      <c r="H138" s="7" t="n"/>
      <c r="I138" s="7" t="n"/>
      <c r="J138" s="8" t="n"/>
      <c r="K138" s="8" t="n"/>
      <c r="L138" s="9" t="n"/>
      <c r="M138" s="8" t="n"/>
      <c r="N138" s="8" t="n"/>
      <c r="O138" s="8" t="n"/>
      <c r="P138" s="7" t="n"/>
      <c r="Q138" s="7" t="n"/>
      <c r="R138" s="8" t="n"/>
      <c r="S138" s="8" t="n"/>
      <c r="T138" s="8" t="n"/>
      <c r="U138" s="8" t="n"/>
    </row>
    <row r="139" ht="15.75" customHeight="1" s="34">
      <c r="A139" s="8" t="n"/>
      <c r="B139" s="8" t="n"/>
      <c r="C139" s="8" t="n"/>
      <c r="D139" s="8" t="n"/>
      <c r="E139" s="8" t="n"/>
      <c r="F139" s="8" t="n"/>
      <c r="G139" s="8" t="n"/>
      <c r="H139" s="7" t="n"/>
      <c r="I139" s="7" t="n"/>
      <c r="J139" s="8" t="n"/>
      <c r="K139" s="8" t="n"/>
      <c r="L139" s="9" t="n"/>
      <c r="M139" s="8" t="n"/>
      <c r="N139" s="8" t="n"/>
      <c r="O139" s="8" t="n"/>
      <c r="P139" s="7" t="n"/>
      <c r="Q139" s="7" t="n"/>
      <c r="R139" s="8" t="n"/>
      <c r="S139" s="8" t="n"/>
      <c r="T139" s="8" t="n"/>
      <c r="U139" s="8" t="n"/>
    </row>
    <row r="140" ht="15.75" customHeight="1" s="34">
      <c r="A140" s="8" t="n"/>
      <c r="B140" s="8" t="n"/>
      <c r="C140" s="8" t="n"/>
      <c r="D140" s="8" t="n"/>
      <c r="E140" s="8" t="n"/>
      <c r="F140" s="8" t="n"/>
      <c r="G140" s="8" t="n"/>
      <c r="H140" s="7" t="n"/>
      <c r="I140" s="7" t="n"/>
      <c r="J140" s="8" t="n"/>
      <c r="K140" s="8" t="n"/>
      <c r="L140" s="9" t="n"/>
      <c r="M140" s="8" t="n"/>
      <c r="N140" s="8" t="n"/>
      <c r="O140" s="8" t="n"/>
      <c r="P140" s="7" t="n"/>
      <c r="Q140" s="7" t="n"/>
      <c r="R140" s="8" t="n"/>
      <c r="S140" s="8" t="n"/>
      <c r="T140" s="8" t="n"/>
      <c r="U140" s="8" t="n"/>
    </row>
    <row r="141" ht="15.75" customHeight="1" s="34">
      <c r="A141" s="8" t="n"/>
      <c r="B141" s="8" t="n"/>
      <c r="C141" s="8" t="n"/>
      <c r="D141" s="8" t="n"/>
      <c r="E141" s="8" t="n"/>
      <c r="F141" s="8" t="n"/>
      <c r="G141" s="8" t="n"/>
      <c r="H141" s="7" t="n"/>
      <c r="I141" s="7" t="n"/>
      <c r="J141" s="8" t="n"/>
      <c r="K141" s="8" t="n"/>
      <c r="L141" s="9" t="n"/>
      <c r="M141" s="8" t="n"/>
      <c r="N141" s="8" t="n"/>
      <c r="O141" s="8" t="n"/>
      <c r="P141" s="7" t="n"/>
      <c r="Q141" s="7" t="n"/>
      <c r="R141" s="8" t="n"/>
      <c r="S141" s="8" t="n"/>
      <c r="T141" s="8" t="n"/>
      <c r="U141" s="8" t="n"/>
    </row>
    <row r="142" ht="15.75" customHeight="1" s="34">
      <c r="A142" s="8" t="n"/>
      <c r="B142" s="8" t="n"/>
      <c r="C142" s="8" t="n"/>
      <c r="D142" s="8" t="n"/>
      <c r="E142" s="8" t="n"/>
      <c r="F142" s="8" t="n"/>
      <c r="G142" s="8" t="n"/>
      <c r="H142" s="7" t="n"/>
      <c r="I142" s="7" t="n"/>
      <c r="J142" s="8" t="n"/>
      <c r="K142" s="8" t="n"/>
      <c r="L142" s="9" t="n"/>
      <c r="M142" s="8" t="n"/>
      <c r="N142" s="8" t="n"/>
      <c r="O142" s="8" t="n"/>
      <c r="P142" s="7" t="n"/>
      <c r="Q142" s="7" t="n"/>
      <c r="R142" s="8" t="n"/>
      <c r="S142" s="8" t="n"/>
      <c r="T142" s="8" t="n"/>
      <c r="U142" s="8" t="n"/>
    </row>
    <row r="143" ht="15.75" customHeight="1" s="34">
      <c r="A143" s="8" t="n"/>
      <c r="B143" s="8" t="n"/>
      <c r="C143" s="8" t="n"/>
      <c r="D143" s="8" t="n"/>
      <c r="E143" s="8" t="n"/>
      <c r="F143" s="8" t="n"/>
      <c r="G143" s="8" t="n"/>
      <c r="H143" s="7" t="n"/>
      <c r="I143" s="7" t="n"/>
      <c r="J143" s="8" t="n"/>
      <c r="K143" s="8" t="n"/>
      <c r="L143" s="9" t="n"/>
      <c r="M143" s="8" t="n"/>
      <c r="N143" s="8" t="n"/>
      <c r="O143" s="8" t="n"/>
      <c r="P143" s="7" t="n"/>
      <c r="Q143" s="7" t="n"/>
      <c r="R143" s="8" t="n"/>
      <c r="S143" s="8" t="n"/>
      <c r="T143" s="8" t="n"/>
      <c r="U143" s="8" t="n"/>
    </row>
    <row r="144" ht="15.75" customHeight="1" s="34">
      <c r="A144" s="8" t="n"/>
      <c r="B144" s="8" t="n"/>
      <c r="C144" s="8" t="n"/>
      <c r="D144" s="8" t="n"/>
      <c r="E144" s="8" t="n"/>
      <c r="F144" s="8" t="n"/>
      <c r="G144" s="8" t="n"/>
      <c r="H144" s="7" t="n"/>
      <c r="I144" s="7" t="n"/>
      <c r="J144" s="8" t="n"/>
      <c r="K144" s="8" t="n"/>
      <c r="L144" s="9" t="n"/>
      <c r="M144" s="8" t="n"/>
      <c r="N144" s="8" t="n"/>
      <c r="O144" s="8" t="n"/>
      <c r="P144" s="7" t="n"/>
      <c r="Q144" s="7" t="n"/>
      <c r="R144" s="8" t="n"/>
      <c r="S144" s="8" t="n"/>
      <c r="T144" s="8" t="n"/>
      <c r="U144" s="8" t="n"/>
    </row>
    <row r="145" ht="15.75" customHeight="1" s="34">
      <c r="A145" s="8" t="n"/>
      <c r="B145" s="8" t="n"/>
      <c r="C145" s="8" t="n"/>
      <c r="D145" s="8" t="n"/>
      <c r="E145" s="8" t="n"/>
      <c r="F145" s="8" t="n"/>
      <c r="G145" s="8" t="n"/>
      <c r="H145" s="7" t="n"/>
      <c r="I145" s="7" t="n"/>
      <c r="J145" s="8" t="n"/>
      <c r="K145" s="8" t="n"/>
      <c r="L145" s="9" t="n"/>
      <c r="M145" s="8" t="n"/>
      <c r="N145" s="8" t="n"/>
      <c r="O145" s="8" t="n"/>
      <c r="P145" s="7" t="n"/>
      <c r="Q145" s="7" t="n"/>
      <c r="R145" s="8" t="n"/>
      <c r="S145" s="8" t="n"/>
      <c r="T145" s="8" t="n"/>
      <c r="U145" s="8" t="n"/>
    </row>
    <row r="146" ht="15.75" customHeight="1" s="34">
      <c r="A146" s="8" t="n"/>
      <c r="B146" s="8" t="n"/>
      <c r="C146" s="8" t="n"/>
      <c r="D146" s="8" t="n"/>
      <c r="E146" s="8" t="n"/>
      <c r="F146" s="8" t="n"/>
      <c r="G146" s="8" t="n"/>
      <c r="H146" s="7" t="n"/>
      <c r="I146" s="7" t="n"/>
      <c r="J146" s="8" t="n"/>
      <c r="K146" s="8" t="n"/>
      <c r="L146" s="9" t="n"/>
      <c r="M146" s="8" t="n"/>
      <c r="N146" s="8" t="n"/>
      <c r="O146" s="8" t="n"/>
      <c r="P146" s="7" t="n"/>
      <c r="Q146" s="7" t="n"/>
      <c r="R146" s="8" t="n"/>
      <c r="S146" s="8" t="n"/>
      <c r="T146" s="8" t="n"/>
      <c r="U146" s="8" t="n"/>
    </row>
    <row r="147" ht="15.75" customHeight="1" s="34">
      <c r="A147" s="8" t="n"/>
      <c r="B147" s="8" t="n"/>
      <c r="C147" s="8" t="n"/>
      <c r="D147" s="8" t="n"/>
      <c r="E147" s="8" t="n"/>
      <c r="F147" s="8" t="n"/>
      <c r="G147" s="8" t="n"/>
      <c r="H147" s="7" t="n"/>
      <c r="I147" s="7" t="n"/>
      <c r="J147" s="8" t="n"/>
      <c r="K147" s="8" t="n"/>
      <c r="L147" s="9" t="n"/>
      <c r="M147" s="8" t="n"/>
      <c r="N147" s="8" t="n"/>
      <c r="O147" s="8" t="n"/>
      <c r="P147" s="7" t="n"/>
      <c r="Q147" s="7" t="n"/>
      <c r="R147" s="8" t="n"/>
      <c r="S147" s="8" t="n"/>
      <c r="T147" s="8" t="n"/>
      <c r="U147" s="8" t="n"/>
    </row>
    <row r="148" ht="15.75" customHeight="1" s="34">
      <c r="A148" s="8" t="n"/>
      <c r="B148" s="8" t="n"/>
      <c r="C148" s="8" t="n"/>
      <c r="D148" s="8" t="n"/>
      <c r="E148" s="8" t="n"/>
      <c r="F148" s="8" t="n"/>
      <c r="G148" s="8" t="n"/>
      <c r="H148" s="7" t="n"/>
      <c r="I148" s="7" t="n"/>
      <c r="J148" s="8" t="n"/>
      <c r="K148" s="8" t="n"/>
      <c r="L148" s="9" t="n"/>
      <c r="M148" s="8" t="n"/>
      <c r="N148" s="8" t="n"/>
      <c r="O148" s="8" t="n"/>
      <c r="P148" s="7" t="n"/>
      <c r="Q148" s="7" t="n"/>
      <c r="R148" s="8" t="n"/>
      <c r="S148" s="8" t="n"/>
      <c r="T148" s="8" t="n"/>
      <c r="U148" s="8" t="n"/>
    </row>
    <row r="149" ht="15.75" customHeight="1" s="34">
      <c r="A149" s="8" t="n"/>
      <c r="B149" s="8" t="n"/>
      <c r="C149" s="8" t="n"/>
      <c r="D149" s="8" t="n"/>
      <c r="E149" s="8" t="n"/>
      <c r="F149" s="8" t="n"/>
      <c r="G149" s="8" t="n"/>
      <c r="H149" s="7" t="n"/>
      <c r="I149" s="7" t="n"/>
      <c r="J149" s="8" t="n"/>
      <c r="K149" s="8" t="n"/>
      <c r="L149" s="9" t="n"/>
      <c r="M149" s="8" t="n"/>
      <c r="N149" s="8" t="n"/>
      <c r="O149" s="8" t="n"/>
      <c r="P149" s="7" t="n"/>
      <c r="Q149" s="7" t="n"/>
      <c r="R149" s="8" t="n"/>
      <c r="S149" s="8" t="n"/>
      <c r="T149" s="8" t="n"/>
      <c r="U149" s="8" t="n"/>
    </row>
    <row r="150" ht="15.75" customHeight="1" s="34">
      <c r="A150" s="8" t="n"/>
      <c r="B150" s="8" t="n"/>
      <c r="C150" s="8" t="n"/>
      <c r="D150" s="8" t="n"/>
      <c r="E150" s="8" t="n"/>
      <c r="F150" s="8" t="n"/>
      <c r="G150" s="8" t="n"/>
      <c r="H150" s="7" t="n"/>
      <c r="I150" s="7" t="n"/>
      <c r="J150" s="8" t="n"/>
      <c r="K150" s="8" t="n"/>
      <c r="L150" s="9" t="n"/>
      <c r="M150" s="8" t="n"/>
      <c r="N150" s="8" t="n"/>
      <c r="O150" s="8" t="n"/>
      <c r="P150" s="7" t="n"/>
      <c r="Q150" s="7" t="n"/>
      <c r="R150" s="8" t="n"/>
      <c r="S150" s="8" t="n"/>
      <c r="T150" s="8" t="n"/>
      <c r="U150" s="8" t="n"/>
    </row>
    <row r="151" ht="15.75" customHeight="1" s="34">
      <c r="A151" s="8" t="n"/>
      <c r="B151" s="8" t="n"/>
      <c r="C151" s="8" t="n"/>
      <c r="D151" s="8" t="n"/>
      <c r="E151" s="8" t="n"/>
      <c r="F151" s="8" t="n"/>
      <c r="G151" s="8" t="n"/>
      <c r="H151" s="7" t="n"/>
      <c r="I151" s="7" t="n"/>
      <c r="J151" s="8" t="n"/>
      <c r="K151" s="8" t="n"/>
      <c r="L151" s="9" t="n"/>
      <c r="M151" s="8" t="n"/>
      <c r="N151" s="8" t="n"/>
      <c r="O151" s="8" t="n"/>
      <c r="P151" s="7" t="n"/>
      <c r="Q151" s="7" t="n"/>
      <c r="R151" s="8" t="n"/>
      <c r="S151" s="8" t="n"/>
      <c r="T151" s="8" t="n"/>
      <c r="U151" s="8" t="n"/>
    </row>
    <row r="152" ht="15.75" customHeight="1" s="34">
      <c r="A152" s="8" t="n"/>
      <c r="B152" s="8" t="n"/>
      <c r="C152" s="8" t="n"/>
      <c r="D152" s="8" t="n"/>
      <c r="E152" s="8" t="n"/>
      <c r="F152" s="8" t="n"/>
      <c r="G152" s="8" t="n"/>
      <c r="H152" s="7" t="n"/>
      <c r="I152" s="7" t="n"/>
      <c r="J152" s="8" t="n"/>
      <c r="K152" s="8" t="n"/>
      <c r="L152" s="9" t="n"/>
      <c r="M152" s="8" t="n"/>
      <c r="N152" s="8" t="n"/>
      <c r="O152" s="8" t="n"/>
      <c r="P152" s="7" t="n"/>
      <c r="Q152" s="7" t="n"/>
      <c r="R152" s="8" t="n"/>
      <c r="S152" s="8" t="n"/>
      <c r="T152" s="8" t="n"/>
      <c r="U152" s="8" t="n"/>
    </row>
    <row r="153" ht="15.75" customHeight="1" s="34">
      <c r="A153" s="8" t="n"/>
      <c r="B153" s="8" t="n"/>
      <c r="C153" s="8" t="n"/>
      <c r="D153" s="8" t="n"/>
      <c r="E153" s="8" t="n"/>
      <c r="F153" s="8" t="n"/>
      <c r="G153" s="8" t="n"/>
      <c r="H153" s="7" t="n"/>
      <c r="I153" s="7" t="n"/>
      <c r="J153" s="8" t="n"/>
      <c r="K153" s="8" t="n"/>
      <c r="L153" s="9" t="n"/>
      <c r="M153" s="8" t="n"/>
      <c r="N153" s="8" t="n"/>
      <c r="O153" s="8" t="n"/>
      <c r="P153" s="7" t="n"/>
      <c r="Q153" s="7" t="n"/>
      <c r="R153" s="8" t="n"/>
      <c r="S153" s="8" t="n"/>
      <c r="T153" s="8" t="n"/>
      <c r="U153" s="8" t="n"/>
    </row>
    <row r="154" ht="15.75" customHeight="1" s="34">
      <c r="A154" s="8" t="n"/>
      <c r="B154" s="8" t="n"/>
      <c r="C154" s="8" t="n"/>
      <c r="D154" s="8" t="n"/>
      <c r="E154" s="8" t="n"/>
      <c r="F154" s="8" t="n"/>
      <c r="G154" s="8" t="n"/>
      <c r="H154" s="7" t="n"/>
      <c r="I154" s="7" t="n"/>
      <c r="J154" s="8" t="n"/>
      <c r="K154" s="8" t="n"/>
      <c r="L154" s="9" t="n"/>
      <c r="M154" s="8" t="n"/>
      <c r="N154" s="8" t="n"/>
      <c r="O154" s="8" t="n"/>
      <c r="P154" s="7" t="n"/>
      <c r="Q154" s="7" t="n"/>
      <c r="R154" s="8" t="n"/>
      <c r="S154" s="8" t="n"/>
      <c r="T154" s="8" t="n"/>
      <c r="U154" s="8" t="n"/>
    </row>
    <row r="155" ht="15.75" customHeight="1" s="34">
      <c r="A155" s="8" t="n"/>
      <c r="B155" s="8" t="n"/>
      <c r="C155" s="8" t="n"/>
      <c r="D155" s="8" t="n"/>
      <c r="E155" s="8" t="n"/>
      <c r="F155" s="8" t="n"/>
      <c r="G155" s="8" t="n"/>
      <c r="H155" s="7" t="n"/>
      <c r="I155" s="7" t="n"/>
      <c r="J155" s="8" t="n"/>
      <c r="K155" s="8" t="n"/>
      <c r="L155" s="9" t="n"/>
      <c r="M155" s="8" t="n"/>
      <c r="N155" s="8" t="n"/>
      <c r="O155" s="8" t="n"/>
      <c r="P155" s="7" t="n"/>
      <c r="Q155" s="7" t="n"/>
      <c r="R155" s="8" t="n"/>
      <c r="S155" s="8" t="n"/>
      <c r="T155" s="8" t="n"/>
      <c r="U155" s="8" t="n"/>
    </row>
    <row r="156" ht="15.75" customHeight="1" s="34">
      <c r="A156" s="8" t="n"/>
      <c r="B156" s="8" t="n"/>
      <c r="C156" s="8" t="n"/>
      <c r="D156" s="8" t="n"/>
      <c r="E156" s="8" t="n"/>
      <c r="F156" s="8" t="n"/>
      <c r="G156" s="8" t="n"/>
      <c r="H156" s="7" t="n"/>
      <c r="I156" s="7" t="n"/>
      <c r="J156" s="8" t="n"/>
      <c r="K156" s="8" t="n"/>
      <c r="L156" s="9" t="n"/>
      <c r="M156" s="8" t="n"/>
      <c r="N156" s="8" t="n"/>
      <c r="O156" s="8" t="n"/>
      <c r="P156" s="7" t="n"/>
      <c r="Q156" s="7" t="n"/>
      <c r="R156" s="8" t="n"/>
      <c r="S156" s="8" t="n"/>
      <c r="T156" s="8" t="n"/>
      <c r="U156" s="8" t="n"/>
    </row>
    <row r="157" ht="15.75" customHeight="1" s="34">
      <c r="A157" s="8" t="n"/>
      <c r="B157" s="8" t="n"/>
      <c r="C157" s="8" t="n"/>
      <c r="D157" s="8" t="n"/>
      <c r="E157" s="8" t="n"/>
      <c r="F157" s="8" t="n"/>
      <c r="G157" s="8" t="n"/>
      <c r="H157" s="7" t="n"/>
      <c r="I157" s="7" t="n"/>
      <c r="J157" s="8" t="n"/>
      <c r="K157" s="8" t="n"/>
      <c r="L157" s="9" t="n"/>
      <c r="M157" s="8" t="n"/>
      <c r="N157" s="8" t="n"/>
      <c r="O157" s="8" t="n"/>
      <c r="P157" s="7" t="n"/>
      <c r="Q157" s="7" t="n"/>
      <c r="R157" s="8" t="n"/>
      <c r="S157" s="8" t="n"/>
      <c r="T157" s="8" t="n"/>
      <c r="U157" s="8" t="n"/>
    </row>
    <row r="158" ht="15.75" customHeight="1" s="34">
      <c r="A158" s="8" t="n"/>
      <c r="B158" s="8" t="n"/>
      <c r="C158" s="8" t="n"/>
      <c r="D158" s="8" t="n"/>
      <c r="E158" s="8" t="n"/>
      <c r="F158" s="8" t="n"/>
      <c r="G158" s="8" t="n"/>
      <c r="H158" s="7" t="n"/>
      <c r="I158" s="7" t="n"/>
      <c r="J158" s="8" t="n"/>
      <c r="K158" s="8" t="n"/>
      <c r="L158" s="9" t="n"/>
      <c r="M158" s="8" t="n"/>
      <c r="N158" s="8" t="n"/>
      <c r="O158" s="8" t="n"/>
      <c r="P158" s="7" t="n"/>
      <c r="Q158" s="7" t="n"/>
      <c r="R158" s="8" t="n"/>
      <c r="S158" s="8" t="n"/>
      <c r="T158" s="8" t="n"/>
      <c r="U158" s="8" t="n"/>
    </row>
    <row r="159" ht="15.75" customHeight="1" s="34">
      <c r="A159" s="8" t="n"/>
      <c r="B159" s="8" t="n"/>
      <c r="C159" s="8" t="n"/>
      <c r="D159" s="8" t="n"/>
      <c r="E159" s="8" t="n"/>
      <c r="F159" s="8" t="n"/>
      <c r="G159" s="8" t="n"/>
      <c r="H159" s="7" t="n"/>
      <c r="I159" s="7" t="n"/>
      <c r="J159" s="8" t="n"/>
      <c r="K159" s="8" t="n"/>
      <c r="L159" s="9" t="n"/>
      <c r="M159" s="8" t="n"/>
      <c r="N159" s="8" t="n"/>
      <c r="O159" s="8" t="n"/>
      <c r="P159" s="7" t="n"/>
      <c r="Q159" s="7" t="n"/>
      <c r="R159" s="8" t="n"/>
      <c r="S159" s="8" t="n"/>
      <c r="T159" s="8" t="n"/>
      <c r="U159" s="8" t="n"/>
    </row>
    <row r="160" ht="15.75" customHeight="1" s="34">
      <c r="A160" s="8" t="n"/>
      <c r="B160" s="8" t="n"/>
      <c r="C160" s="8" t="n"/>
      <c r="D160" s="8" t="n"/>
      <c r="E160" s="8" t="n"/>
      <c r="F160" s="8" t="n"/>
      <c r="G160" s="8" t="n"/>
      <c r="H160" s="7" t="n"/>
      <c r="I160" s="7" t="n"/>
      <c r="J160" s="8" t="n"/>
      <c r="K160" s="8" t="n"/>
      <c r="L160" s="9" t="n"/>
      <c r="M160" s="8" t="n"/>
      <c r="N160" s="8" t="n"/>
      <c r="O160" s="8" t="n"/>
      <c r="P160" s="7" t="n"/>
      <c r="Q160" s="7" t="n"/>
      <c r="R160" s="8" t="n"/>
      <c r="S160" s="8" t="n"/>
      <c r="T160" s="8" t="n"/>
      <c r="U160" s="8" t="n"/>
    </row>
    <row r="161" ht="15.75" customHeight="1" s="34">
      <c r="A161" s="8" t="n"/>
      <c r="B161" s="8" t="n"/>
      <c r="C161" s="8" t="n"/>
      <c r="D161" s="8" t="n"/>
      <c r="E161" s="8" t="n"/>
      <c r="F161" s="8" t="n"/>
      <c r="G161" s="8" t="n"/>
      <c r="H161" s="7" t="n"/>
      <c r="I161" s="7" t="n"/>
      <c r="J161" s="8" t="n"/>
      <c r="K161" s="8" t="n"/>
      <c r="L161" s="9" t="n"/>
      <c r="M161" s="8" t="n"/>
      <c r="N161" s="8" t="n"/>
      <c r="O161" s="8" t="n"/>
      <c r="P161" s="7" t="n"/>
      <c r="Q161" s="7" t="n"/>
      <c r="R161" s="8" t="n"/>
      <c r="S161" s="8" t="n"/>
      <c r="T161" s="8" t="n"/>
      <c r="U161" s="8" t="n"/>
    </row>
    <row r="162" ht="15.75" customHeight="1" s="34">
      <c r="A162" s="8" t="n"/>
      <c r="B162" s="8" t="n"/>
      <c r="C162" s="8" t="n"/>
      <c r="D162" s="8" t="n"/>
      <c r="E162" s="8" t="n"/>
      <c r="F162" s="8" t="n"/>
      <c r="G162" s="8" t="n"/>
      <c r="H162" s="7" t="n"/>
      <c r="I162" s="7" t="n"/>
      <c r="J162" s="8" t="n"/>
      <c r="K162" s="8" t="n"/>
      <c r="L162" s="9" t="n"/>
      <c r="M162" s="8" t="n"/>
      <c r="N162" s="8" t="n"/>
      <c r="O162" s="8" t="n"/>
      <c r="P162" s="7" t="n"/>
      <c r="Q162" s="7" t="n"/>
      <c r="R162" s="8" t="n"/>
      <c r="S162" s="8" t="n"/>
      <c r="T162" s="8" t="n"/>
      <c r="U162" s="8" t="n"/>
    </row>
    <row r="163" ht="15.75" customHeight="1" s="34">
      <c r="A163" s="8" t="n"/>
      <c r="B163" s="8" t="n"/>
      <c r="C163" s="8" t="n"/>
      <c r="D163" s="8" t="n"/>
      <c r="E163" s="8" t="n"/>
      <c r="F163" s="8" t="n"/>
      <c r="G163" s="8" t="n"/>
      <c r="H163" s="7" t="n"/>
      <c r="I163" s="7" t="n"/>
      <c r="J163" s="8" t="n"/>
      <c r="K163" s="8" t="n"/>
      <c r="L163" s="9" t="n"/>
      <c r="M163" s="8" t="n"/>
      <c r="N163" s="8" t="n"/>
      <c r="O163" s="8" t="n"/>
      <c r="P163" s="7" t="n"/>
      <c r="Q163" s="7" t="n"/>
      <c r="R163" s="8" t="n"/>
      <c r="S163" s="8" t="n"/>
      <c r="T163" s="8" t="n"/>
      <c r="U163" s="8" t="n"/>
    </row>
    <row r="164" ht="15.75" customHeight="1" s="34">
      <c r="A164" s="8" t="n"/>
      <c r="B164" s="8" t="n"/>
      <c r="C164" s="8" t="n"/>
      <c r="D164" s="8" t="n"/>
      <c r="E164" s="8" t="n"/>
      <c r="F164" s="8" t="n"/>
      <c r="G164" s="8" t="n"/>
      <c r="H164" s="7" t="n"/>
      <c r="I164" s="7" t="n"/>
      <c r="J164" s="8" t="n"/>
      <c r="K164" s="8" t="n"/>
      <c r="L164" s="9" t="n"/>
      <c r="M164" s="8" t="n"/>
      <c r="N164" s="8" t="n"/>
      <c r="O164" s="8" t="n"/>
      <c r="P164" s="7" t="n"/>
      <c r="Q164" s="7" t="n"/>
      <c r="R164" s="8" t="n"/>
      <c r="S164" s="8" t="n"/>
      <c r="T164" s="8" t="n"/>
      <c r="U164" s="8" t="n"/>
    </row>
    <row r="165" ht="15.75" customHeight="1" s="34">
      <c r="A165" s="8" t="n"/>
      <c r="B165" s="8" t="n"/>
      <c r="C165" s="8" t="n"/>
      <c r="D165" s="8" t="n"/>
      <c r="E165" s="8" t="n"/>
      <c r="F165" s="8" t="n"/>
      <c r="G165" s="8" t="n"/>
      <c r="H165" s="7" t="n"/>
      <c r="I165" s="7" t="n"/>
      <c r="J165" s="8" t="n"/>
      <c r="K165" s="8" t="n"/>
      <c r="L165" s="9" t="n"/>
      <c r="M165" s="8" t="n"/>
      <c r="N165" s="8" t="n"/>
      <c r="O165" s="8" t="n"/>
      <c r="P165" s="7" t="n"/>
      <c r="Q165" s="7" t="n"/>
      <c r="R165" s="8" t="n"/>
      <c r="S165" s="8" t="n"/>
      <c r="T165" s="8" t="n"/>
      <c r="U165" s="8" t="n"/>
    </row>
    <row r="166" ht="15.75" customHeight="1" s="34">
      <c r="A166" s="8" t="n"/>
      <c r="B166" s="8" t="n"/>
      <c r="C166" s="8" t="n"/>
      <c r="D166" s="8" t="n"/>
      <c r="E166" s="8" t="n"/>
      <c r="F166" s="8" t="n"/>
      <c r="G166" s="8" t="n"/>
      <c r="H166" s="7" t="n"/>
      <c r="I166" s="7" t="n"/>
      <c r="J166" s="8" t="n"/>
      <c r="K166" s="8" t="n"/>
      <c r="L166" s="9" t="n"/>
      <c r="M166" s="8" t="n"/>
      <c r="N166" s="8" t="n"/>
      <c r="O166" s="8" t="n"/>
      <c r="P166" s="7" t="n"/>
      <c r="Q166" s="7" t="n"/>
      <c r="R166" s="8" t="n"/>
      <c r="S166" s="8" t="n"/>
      <c r="T166" s="8" t="n"/>
      <c r="U166" s="8" t="n"/>
    </row>
    <row r="167" ht="15.75" customHeight="1" s="34">
      <c r="A167" s="8" t="n"/>
      <c r="B167" s="8" t="n"/>
      <c r="C167" s="8" t="n"/>
      <c r="D167" s="8" t="n"/>
      <c r="E167" s="8" t="n"/>
      <c r="F167" s="8" t="n"/>
      <c r="G167" s="8" t="n"/>
      <c r="H167" s="7" t="n"/>
      <c r="I167" s="7" t="n"/>
      <c r="J167" s="8" t="n"/>
      <c r="K167" s="8" t="n"/>
      <c r="L167" s="9" t="n"/>
      <c r="M167" s="8" t="n"/>
      <c r="N167" s="8" t="n"/>
      <c r="O167" s="8" t="n"/>
      <c r="P167" s="7" t="n"/>
      <c r="Q167" s="7" t="n"/>
      <c r="R167" s="8" t="n"/>
      <c r="S167" s="8" t="n"/>
      <c r="T167" s="8" t="n"/>
      <c r="U167" s="8" t="n"/>
    </row>
    <row r="168" ht="15.75" customHeight="1" s="34">
      <c r="A168" s="8" t="n"/>
      <c r="B168" s="8" t="n"/>
      <c r="C168" s="8" t="n"/>
      <c r="D168" s="8" t="n"/>
      <c r="E168" s="8" t="n"/>
      <c r="F168" s="8" t="n"/>
      <c r="G168" s="8" t="n"/>
      <c r="H168" s="7" t="n"/>
      <c r="I168" s="7" t="n"/>
      <c r="J168" s="8" t="n"/>
      <c r="K168" s="8" t="n"/>
      <c r="L168" s="9" t="n"/>
      <c r="M168" s="8" t="n"/>
      <c r="N168" s="8" t="n"/>
      <c r="O168" s="8" t="n"/>
      <c r="P168" s="7" t="n"/>
      <c r="Q168" s="7" t="n"/>
      <c r="R168" s="8" t="n"/>
      <c r="S168" s="8" t="n"/>
      <c r="T168" s="8" t="n"/>
      <c r="U168" s="8" t="n"/>
    </row>
    <row r="169" ht="15.75" customHeight="1" s="34">
      <c r="A169" s="8" t="n"/>
      <c r="B169" s="8" t="n"/>
      <c r="C169" s="8" t="n"/>
      <c r="D169" s="8" t="n"/>
      <c r="E169" s="8" t="n"/>
      <c r="F169" s="8" t="n"/>
      <c r="G169" s="8" t="n"/>
      <c r="H169" s="7" t="n"/>
      <c r="I169" s="7" t="n"/>
      <c r="J169" s="8" t="n"/>
      <c r="K169" s="8" t="n"/>
      <c r="L169" s="9" t="n"/>
      <c r="M169" s="8" t="n"/>
      <c r="N169" s="8" t="n"/>
      <c r="O169" s="8" t="n"/>
      <c r="P169" s="7" t="n"/>
      <c r="Q169" s="7" t="n"/>
      <c r="R169" s="8" t="n"/>
      <c r="S169" s="8" t="n"/>
      <c r="T169" s="8" t="n"/>
      <c r="U169" s="8" t="n"/>
    </row>
    <row r="170" ht="15.75" customHeight="1" s="34">
      <c r="A170" s="8" t="n"/>
      <c r="B170" s="8" t="n"/>
      <c r="C170" s="8" t="n"/>
      <c r="D170" s="8" t="n"/>
      <c r="E170" s="8" t="n"/>
      <c r="F170" s="8" t="n"/>
      <c r="G170" s="8" t="n"/>
      <c r="H170" s="7" t="n"/>
      <c r="I170" s="7" t="n"/>
      <c r="J170" s="8" t="n"/>
      <c r="K170" s="8" t="n"/>
      <c r="L170" s="9" t="n"/>
      <c r="M170" s="8" t="n"/>
      <c r="N170" s="8" t="n"/>
      <c r="O170" s="8" t="n"/>
      <c r="P170" s="7" t="n"/>
      <c r="Q170" s="7" t="n"/>
      <c r="R170" s="8" t="n"/>
      <c r="S170" s="8" t="n"/>
      <c r="T170" s="8" t="n"/>
      <c r="U170" s="8" t="n"/>
    </row>
    <row r="171" ht="15.75" customHeight="1" s="34">
      <c r="A171" s="8" t="n"/>
      <c r="B171" s="8" t="n"/>
      <c r="C171" s="8" t="n"/>
      <c r="D171" s="8" t="n"/>
      <c r="E171" s="8" t="n"/>
      <c r="F171" s="8" t="n"/>
      <c r="G171" s="8" t="n"/>
      <c r="H171" s="7" t="n"/>
      <c r="I171" s="7" t="n"/>
      <c r="J171" s="8" t="n"/>
      <c r="K171" s="8" t="n"/>
      <c r="L171" s="9" t="n"/>
      <c r="M171" s="8" t="n"/>
      <c r="N171" s="8" t="n"/>
      <c r="O171" s="8" t="n"/>
      <c r="P171" s="7" t="n"/>
      <c r="Q171" s="7" t="n"/>
      <c r="R171" s="8" t="n"/>
      <c r="S171" s="8" t="n"/>
      <c r="T171" s="8" t="n"/>
      <c r="U171" s="8" t="n"/>
    </row>
    <row r="172" ht="15.75" customHeight="1" s="34">
      <c r="A172" s="8" t="n"/>
      <c r="B172" s="8" t="n"/>
      <c r="C172" s="8" t="n"/>
      <c r="D172" s="8" t="n"/>
      <c r="E172" s="8" t="n"/>
      <c r="F172" s="8" t="n"/>
      <c r="G172" s="8" t="n"/>
      <c r="H172" s="7" t="n"/>
      <c r="I172" s="7" t="n"/>
      <c r="J172" s="8" t="n"/>
      <c r="K172" s="8" t="n"/>
      <c r="L172" s="9" t="n"/>
      <c r="M172" s="8" t="n"/>
      <c r="N172" s="8" t="n"/>
      <c r="O172" s="8" t="n"/>
      <c r="P172" s="7" t="n"/>
      <c r="Q172" s="7" t="n"/>
      <c r="R172" s="8" t="n"/>
      <c r="S172" s="8" t="n"/>
      <c r="T172" s="8" t="n"/>
      <c r="U172" s="8" t="n"/>
    </row>
    <row r="173" ht="15.75" customHeight="1" s="34">
      <c r="A173" s="8" t="n"/>
      <c r="B173" s="8" t="n"/>
      <c r="C173" s="8" t="n"/>
      <c r="D173" s="8" t="n"/>
      <c r="E173" s="8" t="n"/>
      <c r="F173" s="8" t="n"/>
      <c r="G173" s="8" t="n"/>
      <c r="H173" s="7" t="n"/>
      <c r="I173" s="7" t="n"/>
      <c r="J173" s="8" t="n"/>
      <c r="K173" s="8" t="n"/>
      <c r="L173" s="9" t="n"/>
      <c r="M173" s="8" t="n"/>
      <c r="N173" s="8" t="n"/>
      <c r="O173" s="8" t="n"/>
      <c r="P173" s="7" t="n"/>
      <c r="Q173" s="7" t="n"/>
      <c r="R173" s="8" t="n"/>
      <c r="S173" s="8" t="n"/>
      <c r="T173" s="8" t="n"/>
      <c r="U173" s="8" t="n"/>
    </row>
    <row r="174" ht="15.75" customHeight="1" s="34">
      <c r="A174" s="8" t="n"/>
      <c r="B174" s="8" t="n"/>
      <c r="C174" s="8" t="n"/>
      <c r="D174" s="8" t="n"/>
      <c r="E174" s="8" t="n"/>
      <c r="F174" s="8" t="n"/>
      <c r="G174" s="8" t="n"/>
      <c r="H174" s="7" t="n"/>
      <c r="I174" s="7" t="n"/>
      <c r="J174" s="8" t="n"/>
      <c r="K174" s="8" t="n"/>
      <c r="L174" s="9" t="n"/>
      <c r="M174" s="8" t="n"/>
      <c r="N174" s="8" t="n"/>
      <c r="O174" s="8" t="n"/>
      <c r="P174" s="7" t="n"/>
      <c r="Q174" s="7" t="n"/>
      <c r="R174" s="8" t="n"/>
      <c r="S174" s="8" t="n"/>
      <c r="T174" s="8" t="n"/>
      <c r="U174" s="8" t="n"/>
    </row>
    <row r="175" ht="15.75" customHeight="1" s="34">
      <c r="A175" s="8" t="n"/>
      <c r="B175" s="8" t="n"/>
      <c r="C175" s="8" t="n"/>
      <c r="D175" s="8" t="n"/>
      <c r="E175" s="8" t="n"/>
      <c r="F175" s="8" t="n"/>
      <c r="G175" s="8" t="n"/>
      <c r="H175" s="7" t="n"/>
      <c r="I175" s="7" t="n"/>
      <c r="J175" s="8" t="n"/>
      <c r="K175" s="8" t="n"/>
      <c r="L175" s="9" t="n"/>
      <c r="M175" s="8" t="n"/>
      <c r="N175" s="8" t="n"/>
      <c r="O175" s="8" t="n"/>
      <c r="P175" s="7" t="n"/>
      <c r="Q175" s="7" t="n"/>
      <c r="R175" s="8" t="n"/>
      <c r="S175" s="8" t="n"/>
      <c r="T175" s="8" t="n"/>
      <c r="U175" s="8" t="n"/>
    </row>
    <row r="176" ht="15.75" customHeight="1" s="34">
      <c r="A176" s="8" t="n"/>
      <c r="B176" s="8" t="n"/>
      <c r="C176" s="8" t="n"/>
      <c r="D176" s="8" t="n"/>
      <c r="E176" s="8" t="n"/>
      <c r="F176" s="8" t="n"/>
      <c r="G176" s="8" t="n"/>
      <c r="H176" s="7" t="n"/>
      <c r="I176" s="7" t="n"/>
      <c r="J176" s="8" t="n"/>
      <c r="K176" s="8" t="n"/>
      <c r="L176" s="9" t="n"/>
      <c r="M176" s="8" t="n"/>
      <c r="N176" s="8" t="n"/>
      <c r="O176" s="8" t="n"/>
      <c r="P176" s="7" t="n"/>
      <c r="Q176" s="7" t="n"/>
      <c r="R176" s="8" t="n"/>
      <c r="S176" s="8" t="n"/>
      <c r="T176" s="8" t="n"/>
      <c r="U176" s="8" t="n"/>
    </row>
    <row r="177" ht="15.75" customHeight="1" s="34">
      <c r="A177" s="8" t="n"/>
      <c r="B177" s="8" t="n"/>
      <c r="C177" s="8" t="n"/>
      <c r="D177" s="8" t="n"/>
      <c r="E177" s="8" t="n"/>
      <c r="F177" s="8" t="n"/>
      <c r="G177" s="8" t="n"/>
      <c r="H177" s="7" t="n"/>
      <c r="I177" s="7" t="n"/>
      <c r="J177" s="8" t="n"/>
      <c r="K177" s="8" t="n"/>
      <c r="L177" s="9" t="n"/>
      <c r="M177" s="8" t="n"/>
      <c r="N177" s="8" t="n"/>
      <c r="O177" s="8" t="n"/>
      <c r="P177" s="7" t="n"/>
      <c r="Q177" s="7" t="n"/>
      <c r="R177" s="8" t="n"/>
      <c r="S177" s="8" t="n"/>
      <c r="T177" s="8" t="n"/>
      <c r="U177" s="8" t="n"/>
    </row>
    <row r="178" ht="15.75" customHeight="1" s="34">
      <c r="A178" s="8" t="n"/>
      <c r="B178" s="8" t="n"/>
      <c r="C178" s="8" t="n"/>
      <c r="D178" s="8" t="n"/>
      <c r="E178" s="8" t="n"/>
      <c r="F178" s="8" t="n"/>
      <c r="G178" s="8" t="n"/>
      <c r="H178" s="7" t="n"/>
      <c r="I178" s="7" t="n"/>
      <c r="J178" s="8" t="n"/>
      <c r="K178" s="8" t="n"/>
      <c r="L178" s="9" t="n"/>
      <c r="M178" s="8" t="n"/>
      <c r="N178" s="8" t="n"/>
      <c r="O178" s="8" t="n"/>
      <c r="P178" s="7" t="n"/>
      <c r="Q178" s="7" t="n"/>
      <c r="R178" s="8" t="n"/>
      <c r="S178" s="8" t="n"/>
      <c r="T178" s="8" t="n"/>
      <c r="U178" s="8" t="n"/>
    </row>
    <row r="179" ht="15.75" customHeight="1" s="34">
      <c r="A179" s="8" t="n"/>
      <c r="B179" s="8" t="n"/>
      <c r="C179" s="8" t="n"/>
      <c r="D179" s="8" t="n"/>
      <c r="E179" s="8" t="n"/>
      <c r="F179" s="8" t="n"/>
      <c r="G179" s="8" t="n"/>
      <c r="H179" s="7" t="n"/>
      <c r="I179" s="7" t="n"/>
      <c r="J179" s="8" t="n"/>
      <c r="K179" s="8" t="n"/>
      <c r="L179" s="9" t="n"/>
      <c r="M179" s="8" t="n"/>
      <c r="N179" s="8" t="n"/>
      <c r="O179" s="8" t="n"/>
      <c r="P179" s="7" t="n"/>
      <c r="Q179" s="7" t="n"/>
      <c r="R179" s="8" t="n"/>
      <c r="S179" s="8" t="n"/>
      <c r="T179" s="8" t="n"/>
      <c r="U179" s="8" t="n"/>
    </row>
    <row r="180" ht="15.75" customHeight="1" s="34">
      <c r="A180" s="8" t="n"/>
      <c r="B180" s="8" t="n"/>
      <c r="C180" s="8" t="n"/>
      <c r="D180" s="8" t="n"/>
      <c r="E180" s="8" t="n"/>
      <c r="F180" s="8" t="n"/>
      <c r="G180" s="8" t="n"/>
      <c r="H180" s="7" t="n"/>
      <c r="I180" s="7" t="n"/>
      <c r="J180" s="8" t="n"/>
      <c r="K180" s="8" t="n"/>
      <c r="L180" s="9" t="n"/>
      <c r="M180" s="8" t="n"/>
      <c r="N180" s="8" t="n"/>
      <c r="O180" s="8" t="n"/>
      <c r="P180" s="7" t="n"/>
      <c r="Q180" s="7" t="n"/>
      <c r="R180" s="8" t="n"/>
      <c r="S180" s="8" t="n"/>
      <c r="T180" s="8" t="n"/>
      <c r="U180" s="8" t="n"/>
    </row>
    <row r="181" ht="15.75" customHeight="1" s="34">
      <c r="A181" s="8" t="n"/>
      <c r="B181" s="8" t="n"/>
      <c r="C181" s="8" t="n"/>
      <c r="D181" s="8" t="n"/>
      <c r="E181" s="8" t="n"/>
      <c r="F181" s="8" t="n"/>
      <c r="G181" s="8" t="n"/>
      <c r="H181" s="7" t="n"/>
      <c r="I181" s="7" t="n"/>
      <c r="J181" s="8" t="n"/>
      <c r="K181" s="8" t="n"/>
      <c r="L181" s="9" t="n"/>
      <c r="M181" s="8" t="n"/>
      <c r="N181" s="8" t="n"/>
      <c r="O181" s="8" t="n"/>
      <c r="P181" s="7" t="n"/>
      <c r="Q181" s="7" t="n"/>
      <c r="R181" s="8" t="n"/>
      <c r="S181" s="8" t="n"/>
      <c r="T181" s="8" t="n"/>
      <c r="U181" s="8" t="n"/>
    </row>
    <row r="182" ht="15.75" customHeight="1" s="34">
      <c r="A182" s="8" t="n"/>
      <c r="B182" s="8" t="n"/>
      <c r="C182" s="8" t="n"/>
      <c r="D182" s="8" t="n"/>
      <c r="E182" s="8" t="n"/>
      <c r="F182" s="8" t="n"/>
      <c r="G182" s="8" t="n"/>
      <c r="H182" s="7" t="n"/>
      <c r="I182" s="7" t="n"/>
      <c r="J182" s="8" t="n"/>
      <c r="K182" s="8" t="n"/>
      <c r="L182" s="9" t="n"/>
      <c r="M182" s="8" t="n"/>
      <c r="N182" s="8" t="n"/>
      <c r="O182" s="8" t="n"/>
      <c r="P182" s="7" t="n"/>
      <c r="Q182" s="7" t="n"/>
      <c r="R182" s="8" t="n"/>
      <c r="S182" s="8" t="n"/>
      <c r="T182" s="8" t="n"/>
      <c r="U182" s="8" t="n"/>
    </row>
    <row r="183" ht="15.75" customHeight="1" s="34">
      <c r="A183" s="8" t="n"/>
      <c r="B183" s="8" t="n"/>
      <c r="C183" s="8" t="n"/>
      <c r="D183" s="8" t="n"/>
      <c r="E183" s="8" t="n"/>
      <c r="F183" s="8" t="n"/>
      <c r="G183" s="8" t="n"/>
      <c r="H183" s="7" t="n"/>
      <c r="I183" s="7" t="n"/>
      <c r="J183" s="8" t="n"/>
      <c r="K183" s="8" t="n"/>
      <c r="L183" s="9" t="n"/>
      <c r="M183" s="8" t="n"/>
      <c r="N183" s="8" t="n"/>
      <c r="O183" s="8" t="n"/>
      <c r="P183" s="7" t="n"/>
      <c r="Q183" s="7" t="n"/>
      <c r="R183" s="8" t="n"/>
      <c r="S183" s="8" t="n"/>
      <c r="T183" s="8" t="n"/>
      <c r="U183" s="8" t="n"/>
    </row>
    <row r="184" ht="15.75" customHeight="1" s="34">
      <c r="A184" s="8" t="n"/>
      <c r="B184" s="8" t="n"/>
      <c r="C184" s="8" t="n"/>
      <c r="D184" s="8" t="n"/>
      <c r="E184" s="8" t="n"/>
      <c r="F184" s="8" t="n"/>
      <c r="G184" s="8" t="n"/>
      <c r="H184" s="7" t="n"/>
      <c r="I184" s="7" t="n"/>
      <c r="J184" s="8" t="n"/>
      <c r="K184" s="8" t="n"/>
      <c r="L184" s="9" t="n"/>
      <c r="M184" s="8" t="n"/>
      <c r="N184" s="8" t="n"/>
      <c r="O184" s="8" t="n"/>
      <c r="P184" s="7" t="n"/>
      <c r="Q184" s="7" t="n"/>
      <c r="R184" s="8" t="n"/>
      <c r="S184" s="8" t="n"/>
      <c r="T184" s="8" t="n"/>
      <c r="U184" s="8" t="n"/>
    </row>
    <row r="185" ht="15.75" customHeight="1" s="34">
      <c r="A185" s="8" t="n"/>
      <c r="B185" s="8" t="n"/>
      <c r="C185" s="8" t="n"/>
      <c r="D185" s="8" t="n"/>
      <c r="E185" s="8" t="n"/>
      <c r="F185" s="8" t="n"/>
      <c r="G185" s="8" t="n"/>
      <c r="H185" s="7" t="n"/>
      <c r="I185" s="7" t="n"/>
      <c r="J185" s="8" t="n"/>
      <c r="K185" s="8" t="n"/>
      <c r="L185" s="9" t="n"/>
      <c r="M185" s="8" t="n"/>
      <c r="N185" s="8" t="n"/>
      <c r="O185" s="8" t="n"/>
      <c r="P185" s="7" t="n"/>
      <c r="Q185" s="7" t="n"/>
      <c r="R185" s="8" t="n"/>
      <c r="S185" s="8" t="n"/>
      <c r="T185" s="8" t="n"/>
      <c r="U185" s="8" t="n"/>
    </row>
    <row r="186" ht="15.75" customHeight="1" s="34">
      <c r="A186" s="8" t="n"/>
      <c r="B186" s="8" t="n"/>
      <c r="C186" s="8" t="n"/>
      <c r="D186" s="8" t="n"/>
      <c r="E186" s="8" t="n"/>
      <c r="F186" s="8" t="n"/>
      <c r="G186" s="8" t="n"/>
      <c r="H186" s="7" t="n"/>
      <c r="I186" s="7" t="n"/>
      <c r="J186" s="8" t="n"/>
      <c r="K186" s="8" t="n"/>
      <c r="L186" s="9" t="n"/>
      <c r="M186" s="8" t="n"/>
      <c r="N186" s="8" t="n"/>
      <c r="O186" s="8" t="n"/>
      <c r="P186" s="7" t="n"/>
      <c r="Q186" s="7" t="n"/>
      <c r="R186" s="8" t="n"/>
      <c r="S186" s="8" t="n"/>
      <c r="T186" s="8" t="n"/>
      <c r="U186" s="8" t="n"/>
    </row>
    <row r="187" ht="15.75" customHeight="1" s="34">
      <c r="A187" s="8" t="n"/>
      <c r="B187" s="8" t="n"/>
      <c r="C187" s="8" t="n"/>
      <c r="D187" s="8" t="n"/>
      <c r="E187" s="8" t="n"/>
      <c r="F187" s="8" t="n"/>
      <c r="G187" s="8" t="n"/>
      <c r="H187" s="7" t="n"/>
      <c r="I187" s="7" t="n"/>
      <c r="J187" s="8" t="n"/>
      <c r="K187" s="8" t="n"/>
      <c r="L187" s="9" t="n"/>
      <c r="M187" s="8" t="n"/>
      <c r="N187" s="8" t="n"/>
      <c r="O187" s="8" t="n"/>
      <c r="P187" s="7" t="n"/>
      <c r="Q187" s="7" t="n"/>
      <c r="R187" s="8" t="n"/>
      <c r="S187" s="8" t="n"/>
      <c r="T187" s="8" t="n"/>
      <c r="U187" s="8" t="n"/>
    </row>
    <row r="188" ht="15.75" customHeight="1" s="34">
      <c r="A188" s="8" t="n"/>
      <c r="B188" s="8" t="n"/>
      <c r="C188" s="8" t="n"/>
      <c r="D188" s="8" t="n"/>
      <c r="E188" s="8" t="n"/>
      <c r="F188" s="8" t="n"/>
      <c r="G188" s="8" t="n"/>
      <c r="H188" s="7" t="n"/>
      <c r="I188" s="7" t="n"/>
      <c r="J188" s="8" t="n"/>
      <c r="K188" s="8" t="n"/>
      <c r="L188" s="9" t="n"/>
      <c r="M188" s="8" t="n"/>
      <c r="N188" s="8" t="n"/>
      <c r="O188" s="8" t="n"/>
      <c r="P188" s="7" t="n"/>
      <c r="Q188" s="7" t="n"/>
      <c r="R188" s="8" t="n"/>
      <c r="S188" s="8" t="n"/>
      <c r="T188" s="8" t="n"/>
      <c r="U188" s="8" t="n"/>
    </row>
    <row r="189" ht="15.75" customHeight="1" s="34">
      <c r="A189" s="8" t="n"/>
      <c r="B189" s="8" t="n"/>
      <c r="C189" s="8" t="n"/>
      <c r="D189" s="8" t="n"/>
      <c r="E189" s="8" t="n"/>
      <c r="F189" s="8" t="n"/>
      <c r="G189" s="8" t="n"/>
      <c r="H189" s="7" t="n"/>
      <c r="I189" s="7" t="n"/>
      <c r="J189" s="8" t="n"/>
      <c r="K189" s="8" t="n"/>
      <c r="L189" s="9" t="n"/>
      <c r="M189" s="8" t="n"/>
      <c r="N189" s="8" t="n"/>
      <c r="O189" s="8" t="n"/>
      <c r="P189" s="7" t="n"/>
      <c r="Q189" s="7" t="n"/>
      <c r="R189" s="8" t="n"/>
      <c r="S189" s="8" t="n"/>
      <c r="T189" s="8" t="n"/>
      <c r="U189" s="8" t="n"/>
    </row>
    <row r="190" ht="15.75" customHeight="1" s="34">
      <c r="A190" s="8" t="n"/>
      <c r="B190" s="8" t="n"/>
      <c r="C190" s="8" t="n"/>
      <c r="D190" s="8" t="n"/>
      <c r="E190" s="8" t="n"/>
      <c r="F190" s="8" t="n"/>
      <c r="G190" s="8" t="n"/>
      <c r="H190" s="7" t="n"/>
      <c r="I190" s="7" t="n"/>
      <c r="J190" s="8" t="n"/>
      <c r="K190" s="8" t="n"/>
      <c r="L190" s="9" t="n"/>
      <c r="M190" s="8" t="n"/>
      <c r="N190" s="8" t="n"/>
      <c r="O190" s="8" t="n"/>
      <c r="P190" s="7" t="n"/>
      <c r="Q190" s="7" t="n"/>
      <c r="R190" s="8" t="n"/>
      <c r="S190" s="8" t="n"/>
      <c r="T190" s="8" t="n"/>
      <c r="U190" s="8" t="n"/>
    </row>
    <row r="191" ht="15.75" customHeight="1" s="34">
      <c r="A191" s="8" t="n"/>
      <c r="B191" s="8" t="n"/>
      <c r="C191" s="8" t="n"/>
      <c r="D191" s="8" t="n"/>
      <c r="E191" s="8" t="n"/>
      <c r="F191" s="8" t="n"/>
      <c r="G191" s="8" t="n"/>
      <c r="H191" s="7" t="n"/>
      <c r="I191" s="7" t="n"/>
      <c r="J191" s="8" t="n"/>
      <c r="K191" s="8" t="n"/>
      <c r="L191" s="9" t="n"/>
      <c r="M191" s="8" t="n"/>
      <c r="N191" s="8" t="n"/>
      <c r="O191" s="8" t="n"/>
      <c r="P191" s="7" t="n"/>
      <c r="Q191" s="7" t="n"/>
      <c r="R191" s="8" t="n"/>
      <c r="S191" s="8" t="n"/>
      <c r="T191" s="8" t="n"/>
      <c r="U191" s="8" t="n"/>
    </row>
    <row r="192" ht="15.75" customHeight="1" s="34">
      <c r="A192" s="8" t="n"/>
      <c r="B192" s="8" t="n"/>
      <c r="C192" s="8" t="n"/>
      <c r="D192" s="8" t="n"/>
      <c r="E192" s="8" t="n"/>
      <c r="F192" s="8" t="n"/>
      <c r="G192" s="8" t="n"/>
      <c r="H192" s="7" t="n"/>
      <c r="I192" s="7" t="n"/>
      <c r="J192" s="8" t="n"/>
      <c r="K192" s="8" t="n"/>
      <c r="L192" s="9" t="n"/>
      <c r="M192" s="8" t="n"/>
      <c r="N192" s="8" t="n"/>
      <c r="O192" s="8" t="n"/>
      <c r="P192" s="7" t="n"/>
      <c r="Q192" s="7" t="n"/>
      <c r="R192" s="8" t="n"/>
      <c r="S192" s="8" t="n"/>
      <c r="T192" s="8" t="n"/>
      <c r="U192" s="8" t="n"/>
    </row>
    <row r="193" ht="15.75" customHeight="1" s="34">
      <c r="A193" s="8" t="n"/>
      <c r="B193" s="8" t="n"/>
      <c r="C193" s="8" t="n"/>
      <c r="D193" s="8" t="n"/>
      <c r="E193" s="8" t="n"/>
      <c r="F193" s="8" t="n"/>
      <c r="G193" s="8" t="n"/>
      <c r="H193" s="7" t="n"/>
      <c r="I193" s="7" t="n"/>
      <c r="J193" s="8" t="n"/>
      <c r="K193" s="8" t="n"/>
      <c r="L193" s="9" t="n"/>
      <c r="M193" s="8" t="n"/>
      <c r="N193" s="8" t="n"/>
      <c r="O193" s="8" t="n"/>
      <c r="P193" s="7" t="n"/>
      <c r="Q193" s="7" t="n"/>
      <c r="R193" s="8" t="n"/>
      <c r="S193" s="8" t="n"/>
      <c r="T193" s="8" t="n"/>
      <c r="U193" s="8" t="n"/>
    </row>
    <row r="194" ht="15.75" customHeight="1" s="34">
      <c r="A194" s="8" t="n"/>
      <c r="B194" s="8" t="n"/>
      <c r="C194" s="8" t="n"/>
      <c r="D194" s="8" t="n"/>
      <c r="E194" s="8" t="n"/>
      <c r="F194" s="8" t="n"/>
      <c r="G194" s="8" t="n"/>
      <c r="H194" s="7" t="n"/>
      <c r="I194" s="7" t="n"/>
      <c r="J194" s="8" t="n"/>
      <c r="K194" s="8" t="n"/>
      <c r="L194" s="9" t="n"/>
      <c r="M194" s="8" t="n"/>
      <c r="N194" s="8" t="n"/>
      <c r="O194" s="8" t="n"/>
      <c r="P194" s="7" t="n"/>
      <c r="Q194" s="7" t="n"/>
      <c r="R194" s="8" t="n"/>
      <c r="S194" s="8" t="n"/>
      <c r="T194" s="8" t="n"/>
      <c r="U194" s="8" t="n"/>
    </row>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sheetData>
  <conditionalFormatting sqref="P2:P194">
    <cfRule type="timePeriod" priority="1" dxfId="0" timePeriod="today"/>
  </conditionalFormatting>
  <dataValidations count="8">
    <dataValidation sqref="D12:D15" showDropDown="0" showInputMessage="0" showErrorMessage="1" allowBlank="1" type="list">
      <formula1>"Director,Senior Director,VP,Managing Director,Business Unit Leader,General Manager,COO"</formula1>
    </dataValidation>
    <dataValidation sqref="K2:K11 K16:K194" showDropDown="0" showInputMessage="0" showErrorMessage="0" allowBlank="1" type="list">
      <formula1>"A,B,C"</formula1>
    </dataValidation>
    <dataValidation sqref="J2:J11 J16:J194" showDropDown="0" showInputMessage="0" showErrorMessage="0" allowBlank="1" type="list">
      <formula1>"Prospect,Networking,Applied,Recruiter Screen,Interviewing,Final Round,Offer,Closed - Won,Closed - Lost,On Hold"</formula1>
    </dataValidation>
    <dataValidation sqref="D2:D11 D16:D194" showDropDown="0" showInputMessage="0" showErrorMessage="0" allowBlank="1" type="list">
      <formula1>"Director,Senior Director,VP,Managing Director,Business Unit Leader,General Manager,COO"</formula1>
    </dataValidation>
    <dataValidation sqref="T12:T15" showDropDown="0" showInputMessage="0" showErrorMessage="1" allowBlank="1" type="list">
      <formula1>"No,Drafting,Ready,Submitted"</formula1>
    </dataValidation>
    <dataValidation sqref="J12:J15" showDropDown="0" showInputMessage="0" showErrorMessage="1" allowBlank="1" type="list">
      <formula1>"Prospect,Networking,Applied,Recruiter Screen,Interviewing,Final Round,Offer,Closed - Won,Closed - Lost,On Hold"</formula1>
    </dataValidation>
    <dataValidation sqref="K12:K15" showDropDown="0" showInputMessage="0" showErrorMessage="1" allowBlank="1" type="list">
      <formula1>"A,B,C"</formula1>
    </dataValidation>
    <dataValidation sqref="T2:T11 T16:T194" showDropDown="0" showInputMessage="0" showErrorMessage="0" allowBlank="1" type="list">
      <formula1>"No,Drafting,Ready,Submitted"</formula1>
    </dataValidation>
  </dataValidations>
  <hyperlinks>
    <hyperlink xmlns:r="http://schemas.openxmlformats.org/officeDocument/2006/relationships" ref="R2" r:id="rId1"/>
    <hyperlink xmlns:r="http://schemas.openxmlformats.org/officeDocument/2006/relationships" ref="R3" r:id="rId2"/>
    <hyperlink xmlns:r="http://schemas.openxmlformats.org/officeDocument/2006/relationships" ref="R4" r:id="rId3"/>
    <hyperlink xmlns:r="http://schemas.openxmlformats.org/officeDocument/2006/relationships" ref="R5" r:id="rId4"/>
    <hyperlink xmlns:r="http://schemas.openxmlformats.org/officeDocument/2006/relationships" ref="R6" r:id="rId5"/>
    <hyperlink xmlns:r="http://schemas.openxmlformats.org/officeDocument/2006/relationships" ref="R9" r:id="rId6"/>
    <hyperlink xmlns:r="http://schemas.openxmlformats.org/officeDocument/2006/relationships" ref="R10" r:id="rId7"/>
    <hyperlink xmlns:r="http://schemas.openxmlformats.org/officeDocument/2006/relationships" ref="R11" r:id="rId8"/>
    <hyperlink xmlns:r="http://schemas.openxmlformats.org/officeDocument/2006/relationships" ref="R12" r:id="rId9"/>
    <hyperlink xmlns:r="http://schemas.openxmlformats.org/officeDocument/2006/relationships" ref="R13" r:id="rId10"/>
    <hyperlink xmlns:r="http://schemas.openxmlformats.org/officeDocument/2006/relationships" ref="R14" r:id="rId11"/>
    <hyperlink xmlns:r="http://schemas.openxmlformats.org/officeDocument/2006/relationships" ref="R15" r:id="rId12"/>
  </hyperlink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H55"/>
  <sheetViews>
    <sheetView showGridLines="0" workbookViewId="0">
      <selection activeCell="A1" sqref="A1"/>
    </sheetView>
  </sheetViews>
  <sheetFormatPr baseColWidth="8" defaultColWidth="12.63" defaultRowHeight="15" customHeight="1"/>
  <cols>
    <col width="16" customWidth="1" style="34" min="1" max="1"/>
    <col width="20" customWidth="1" style="34" min="2" max="2"/>
    <col width="18" customWidth="1" style="34" min="3" max="3"/>
    <col width="22" customWidth="1" style="34" min="4" max="4"/>
    <col width="26" customWidth="1" style="34" min="5" max="5"/>
    <col width="14" customWidth="1" style="34" min="6" max="6"/>
    <col width="44" customWidth="1" style="34" min="7" max="8"/>
    <col width="8.630000000000001" customWidth="1" style="34" min="9" max="26"/>
  </cols>
  <sheetData>
    <row r="1" ht="30" customHeight="1" s="34">
      <c r="A1" s="3" t="inlineStr">
        <is>
          <t>Week Of</t>
        </is>
      </c>
      <c r="B1" s="3" t="inlineStr">
        <is>
          <t>Targeted Applications</t>
        </is>
      </c>
      <c r="C1" s="3" t="inlineStr">
        <is>
          <t>Warm Outreaches</t>
        </is>
      </c>
      <c r="D1" s="3" t="inlineStr">
        <is>
          <t>Recruiter Conversations</t>
        </is>
      </c>
      <c r="E1" s="3" t="inlineStr">
        <is>
          <t>Hiring Manager Conversations</t>
        </is>
      </c>
      <c r="F1" s="3" t="inlineStr">
        <is>
          <t>Interviews</t>
        </is>
      </c>
      <c r="G1" s="3" t="inlineStr">
        <is>
          <t>Strategic Notes / Wins</t>
        </is>
      </c>
      <c r="H1" s="3" t="inlineStr">
        <is>
          <t>Next Week Focus</t>
        </is>
      </c>
    </row>
    <row r="2">
      <c r="A2" s="7" t="n"/>
      <c r="B2" s="9" t="n"/>
      <c r="C2" s="9" t="n"/>
      <c r="D2" s="9" t="n"/>
      <c r="E2" s="9" t="n"/>
      <c r="F2" s="9" t="n"/>
      <c r="G2" s="8" t="n"/>
      <c r="H2" s="8" t="n"/>
    </row>
    <row r="3">
      <c r="A3" s="7" t="n"/>
      <c r="B3" s="9" t="n"/>
      <c r="C3" s="9" t="n"/>
      <c r="D3" s="9" t="n"/>
      <c r="E3" s="9" t="n"/>
      <c r="F3" s="9" t="n"/>
      <c r="G3" s="8" t="n"/>
      <c r="H3" s="8" t="n"/>
    </row>
    <row r="4">
      <c r="A4" s="7" t="n"/>
      <c r="B4" s="9" t="n"/>
      <c r="C4" s="9" t="n"/>
      <c r="D4" s="9" t="n"/>
      <c r="E4" s="9" t="n"/>
      <c r="F4" s="9" t="n"/>
      <c r="G4" s="8" t="n"/>
      <c r="H4" s="8" t="n"/>
    </row>
    <row r="5">
      <c r="A5" s="7" t="n"/>
      <c r="B5" s="9" t="n"/>
      <c r="C5" s="9" t="n"/>
      <c r="D5" s="9" t="n"/>
      <c r="E5" s="9" t="n"/>
      <c r="F5" s="9" t="n"/>
      <c r="G5" s="8" t="n"/>
      <c r="H5" s="8" t="n"/>
    </row>
    <row r="6">
      <c r="A6" s="7" t="n"/>
      <c r="B6" s="9" t="n"/>
      <c r="C6" s="9" t="n"/>
      <c r="D6" s="9" t="n"/>
      <c r="E6" s="9" t="n"/>
      <c r="F6" s="9" t="n"/>
      <c r="G6" s="8" t="n"/>
      <c r="H6" s="8" t="n"/>
    </row>
    <row r="7">
      <c r="A7" s="7" t="n"/>
      <c r="B7" s="9" t="n"/>
      <c r="C7" s="9" t="n"/>
      <c r="D7" s="9" t="n"/>
      <c r="E7" s="9" t="n"/>
      <c r="F7" s="9" t="n"/>
      <c r="G7" s="8" t="n"/>
      <c r="H7" s="8" t="n"/>
    </row>
    <row r="8">
      <c r="A8" s="7" t="n"/>
      <c r="B8" s="9" t="n"/>
      <c r="C8" s="9" t="n"/>
      <c r="D8" s="9" t="n"/>
      <c r="E8" s="9" t="n"/>
      <c r="F8" s="9" t="n"/>
      <c r="G8" s="8" t="n"/>
      <c r="H8" s="8" t="n"/>
    </row>
    <row r="9">
      <c r="A9" s="7" t="n"/>
      <c r="B9" s="9" t="n"/>
      <c r="C9" s="9" t="n"/>
      <c r="D9" s="9" t="n"/>
      <c r="E9" s="9" t="n"/>
      <c r="F9" s="9" t="n"/>
      <c r="G9" s="8" t="n"/>
      <c r="H9" s="8" t="n"/>
    </row>
    <row r="10">
      <c r="A10" s="7" t="n"/>
      <c r="B10" s="9" t="n"/>
      <c r="C10" s="9" t="n"/>
      <c r="D10" s="9" t="n"/>
      <c r="E10" s="9" t="n"/>
      <c r="F10" s="9" t="n"/>
      <c r="G10" s="8" t="n"/>
      <c r="H10" s="8" t="n"/>
    </row>
    <row r="11">
      <c r="A11" s="7" t="n"/>
      <c r="B11" s="9" t="n"/>
      <c r="C11" s="9" t="n"/>
      <c r="D11" s="9" t="n"/>
      <c r="E11" s="9" t="n"/>
      <c r="F11" s="9" t="n"/>
      <c r="G11" s="8" t="n"/>
      <c r="H11" s="8" t="n"/>
    </row>
    <row r="12">
      <c r="A12" s="7" t="n"/>
      <c r="B12" s="9" t="n"/>
      <c r="C12" s="9" t="n"/>
      <c r="D12" s="9" t="n"/>
      <c r="E12" s="9" t="n"/>
      <c r="F12" s="9" t="n"/>
      <c r="G12" s="8" t="n"/>
      <c r="H12" s="8" t="n"/>
    </row>
    <row r="13">
      <c r="A13" s="7" t="n"/>
      <c r="B13" s="9" t="n"/>
      <c r="C13" s="9" t="n"/>
      <c r="D13" s="9" t="n"/>
      <c r="E13" s="9" t="n"/>
      <c r="F13" s="9" t="n"/>
      <c r="G13" s="8" t="n"/>
      <c r="H13" s="8" t="n"/>
    </row>
    <row r="14">
      <c r="A14" s="7" t="n"/>
      <c r="B14" s="9" t="n"/>
      <c r="C14" s="9" t="n"/>
      <c r="D14" s="9" t="n"/>
      <c r="E14" s="9" t="n"/>
      <c r="F14" s="9" t="n"/>
      <c r="G14" s="8" t="n"/>
      <c r="H14" s="8" t="n"/>
    </row>
    <row r="15">
      <c r="A15" s="7" t="n"/>
      <c r="B15" s="9" t="n"/>
      <c r="C15" s="9" t="n"/>
      <c r="D15" s="9" t="n"/>
      <c r="E15" s="9" t="n"/>
      <c r="F15" s="9" t="n"/>
      <c r="G15" s="8" t="n"/>
      <c r="H15" s="8" t="n"/>
    </row>
    <row r="16">
      <c r="A16" s="7" t="n"/>
      <c r="B16" s="9" t="n"/>
      <c r="C16" s="9" t="n"/>
      <c r="D16" s="9" t="n"/>
      <c r="E16" s="9" t="n"/>
      <c r="F16" s="9" t="n"/>
      <c r="G16" s="8" t="n"/>
      <c r="H16" s="8" t="n"/>
    </row>
    <row r="17">
      <c r="A17" s="7" t="n"/>
      <c r="B17" s="9" t="n"/>
      <c r="C17" s="9" t="n"/>
      <c r="D17" s="9" t="n"/>
      <c r="E17" s="9" t="n"/>
      <c r="F17" s="9" t="n"/>
      <c r="G17" s="8" t="n"/>
      <c r="H17" s="8" t="n"/>
    </row>
    <row r="18">
      <c r="A18" s="7" t="n"/>
      <c r="B18" s="9" t="n"/>
      <c r="C18" s="9" t="n"/>
      <c r="D18" s="9" t="n"/>
      <c r="E18" s="9" t="n"/>
      <c r="F18" s="9" t="n"/>
      <c r="G18" s="8" t="n"/>
      <c r="H18" s="8" t="n"/>
    </row>
    <row r="19">
      <c r="A19" s="7" t="n"/>
      <c r="B19" s="9" t="n"/>
      <c r="C19" s="9" t="n"/>
      <c r="D19" s="9" t="n"/>
      <c r="E19" s="9" t="n"/>
      <c r="F19" s="9" t="n"/>
      <c r="G19" s="8" t="n"/>
      <c r="H19" s="8" t="n"/>
    </row>
    <row r="20">
      <c r="A20" s="7" t="n"/>
      <c r="B20" s="9" t="n"/>
      <c r="C20" s="9" t="n"/>
      <c r="D20" s="9" t="n"/>
      <c r="E20" s="9" t="n"/>
      <c r="F20" s="9" t="n"/>
      <c r="G20" s="8" t="n"/>
      <c r="H20" s="8" t="n"/>
    </row>
    <row r="21" ht="15.75" customHeight="1" s="34">
      <c r="A21" s="7" t="n"/>
      <c r="B21" s="9" t="n"/>
      <c r="C21" s="9" t="n"/>
      <c r="D21" s="9" t="n"/>
      <c r="E21" s="9" t="n"/>
      <c r="F21" s="9" t="n"/>
      <c r="G21" s="8" t="n"/>
      <c r="H21" s="8" t="n"/>
    </row>
    <row r="22" ht="15.75" customHeight="1" s="34">
      <c r="A22" s="7" t="n"/>
      <c r="B22" s="9" t="n"/>
      <c r="C22" s="9" t="n"/>
      <c r="D22" s="9" t="n"/>
      <c r="E22" s="9" t="n"/>
      <c r="F22" s="9" t="n"/>
      <c r="G22" s="8" t="n"/>
      <c r="H22" s="8" t="n"/>
    </row>
    <row r="23" ht="15.75" customHeight="1" s="34">
      <c r="A23" s="7" t="n"/>
      <c r="B23" s="9" t="n"/>
      <c r="C23" s="9" t="n"/>
      <c r="D23" s="9" t="n"/>
      <c r="E23" s="9" t="n"/>
      <c r="F23" s="9" t="n"/>
      <c r="G23" s="8" t="n"/>
      <c r="H23" s="8" t="n"/>
    </row>
    <row r="24" ht="15.75" customHeight="1" s="34">
      <c r="A24" s="7" t="n"/>
      <c r="B24" s="9" t="n"/>
      <c r="C24" s="9" t="n"/>
      <c r="D24" s="9" t="n"/>
      <c r="E24" s="9" t="n"/>
      <c r="F24" s="9" t="n"/>
      <c r="G24" s="8" t="n"/>
      <c r="H24" s="8" t="n"/>
    </row>
    <row r="25" ht="15.75" customHeight="1" s="34">
      <c r="A25" s="7" t="n"/>
      <c r="B25" s="9" t="n"/>
      <c r="C25" s="9" t="n"/>
      <c r="D25" s="9" t="n"/>
      <c r="E25" s="9" t="n"/>
      <c r="F25" s="9" t="n"/>
      <c r="G25" s="8" t="n"/>
      <c r="H25" s="8" t="n"/>
    </row>
    <row r="26" ht="15.75" customHeight="1" s="34">
      <c r="A26" s="7" t="n"/>
      <c r="B26" s="9" t="n"/>
      <c r="C26" s="9" t="n"/>
      <c r="D26" s="9" t="n"/>
      <c r="E26" s="9" t="n"/>
      <c r="F26" s="9" t="n"/>
      <c r="G26" s="8" t="n"/>
      <c r="H26" s="8" t="n"/>
    </row>
    <row r="27" ht="15.75" customHeight="1" s="34">
      <c r="A27" s="7" t="n"/>
      <c r="B27" s="9" t="n"/>
      <c r="C27" s="9" t="n"/>
      <c r="D27" s="9" t="n"/>
      <c r="E27" s="9" t="n"/>
      <c r="F27" s="9" t="n"/>
      <c r="G27" s="8" t="n"/>
      <c r="H27" s="8" t="n"/>
    </row>
    <row r="28" ht="15.75" customHeight="1" s="34">
      <c r="A28" s="7" t="n"/>
      <c r="B28" s="9" t="n"/>
      <c r="C28" s="9" t="n"/>
      <c r="D28" s="9" t="n"/>
      <c r="E28" s="9" t="n"/>
      <c r="F28" s="9" t="n"/>
      <c r="G28" s="8" t="n"/>
      <c r="H28" s="8" t="n"/>
    </row>
    <row r="29" ht="15.75" customHeight="1" s="34">
      <c r="A29" s="7" t="n"/>
      <c r="B29" s="9" t="n"/>
      <c r="C29" s="9" t="n"/>
      <c r="D29" s="9" t="n"/>
      <c r="E29" s="9" t="n"/>
      <c r="F29" s="9" t="n"/>
      <c r="G29" s="8" t="n"/>
      <c r="H29" s="8" t="n"/>
    </row>
    <row r="30" ht="15.75" customHeight="1" s="34">
      <c r="A30" s="7" t="n"/>
      <c r="B30" s="9" t="n"/>
      <c r="C30" s="9" t="n"/>
      <c r="D30" s="9" t="n"/>
      <c r="E30" s="9" t="n"/>
      <c r="F30" s="9" t="n"/>
      <c r="G30" s="8" t="n"/>
      <c r="H30" s="8" t="n"/>
    </row>
    <row r="31" ht="15.75" customHeight="1" s="34">
      <c r="A31" s="7" t="n"/>
      <c r="B31" s="9" t="n"/>
      <c r="C31" s="9" t="n"/>
      <c r="D31" s="9" t="n"/>
      <c r="E31" s="9" t="n"/>
      <c r="F31" s="9" t="n"/>
      <c r="G31" s="8" t="n"/>
      <c r="H31" s="8" t="n"/>
    </row>
    <row r="32" ht="15.75" customHeight="1" s="34">
      <c r="A32" s="7" t="n"/>
      <c r="B32" s="9" t="n"/>
      <c r="C32" s="9" t="n"/>
      <c r="D32" s="9" t="n"/>
      <c r="E32" s="9" t="n"/>
      <c r="F32" s="9" t="n"/>
      <c r="G32" s="8" t="n"/>
      <c r="H32" s="8" t="n"/>
    </row>
    <row r="33" ht="15.75" customHeight="1" s="34">
      <c r="A33" s="7" t="n"/>
      <c r="B33" s="9" t="n"/>
      <c r="C33" s="9" t="n"/>
      <c r="D33" s="9" t="n"/>
      <c r="E33" s="9" t="n"/>
      <c r="F33" s="9" t="n"/>
      <c r="G33" s="8" t="n"/>
      <c r="H33" s="8" t="n"/>
    </row>
    <row r="34" ht="15.75" customHeight="1" s="34">
      <c r="A34" s="7" t="n"/>
      <c r="B34" s="9" t="n"/>
      <c r="C34" s="9" t="n"/>
      <c r="D34" s="9" t="n"/>
      <c r="E34" s="9" t="n"/>
      <c r="F34" s="9" t="n"/>
      <c r="G34" s="8" t="n"/>
      <c r="H34" s="8" t="n"/>
    </row>
    <row r="35" ht="15.75" customHeight="1" s="34">
      <c r="A35" s="7" t="n"/>
      <c r="B35" s="9" t="n"/>
      <c r="C35" s="9" t="n"/>
      <c r="D35" s="9" t="n"/>
      <c r="E35" s="9" t="n"/>
      <c r="F35" s="9" t="n"/>
      <c r="G35" s="8" t="n"/>
      <c r="H35" s="8" t="n"/>
    </row>
    <row r="36" ht="15.75" customHeight="1" s="34">
      <c r="A36" s="7" t="n"/>
      <c r="B36" s="9" t="n"/>
      <c r="C36" s="9" t="n"/>
      <c r="D36" s="9" t="n"/>
      <c r="E36" s="9" t="n"/>
      <c r="F36" s="9" t="n"/>
      <c r="G36" s="8" t="n"/>
      <c r="H36" s="8" t="n"/>
    </row>
    <row r="37" ht="15.75" customHeight="1" s="34">
      <c r="A37" s="7" t="n"/>
      <c r="B37" s="9" t="n"/>
      <c r="C37" s="9" t="n"/>
      <c r="D37" s="9" t="n"/>
      <c r="E37" s="9" t="n"/>
      <c r="F37" s="9" t="n"/>
      <c r="G37" s="8" t="n"/>
      <c r="H37" s="8" t="n"/>
    </row>
    <row r="38" ht="15.75" customHeight="1" s="34">
      <c r="A38" s="7" t="n"/>
      <c r="B38" s="9" t="n"/>
      <c r="C38" s="9" t="n"/>
      <c r="D38" s="9" t="n"/>
      <c r="E38" s="9" t="n"/>
      <c r="F38" s="9" t="n"/>
      <c r="G38" s="8" t="n"/>
      <c r="H38" s="8" t="n"/>
    </row>
    <row r="39" ht="15.75" customHeight="1" s="34">
      <c r="A39" s="7" t="n"/>
      <c r="B39" s="9" t="n"/>
      <c r="C39" s="9" t="n"/>
      <c r="D39" s="9" t="n"/>
      <c r="E39" s="9" t="n"/>
      <c r="F39" s="9" t="n"/>
      <c r="G39" s="8" t="n"/>
      <c r="H39" s="8" t="n"/>
    </row>
    <row r="40" ht="15.75" customHeight="1" s="34">
      <c r="A40" s="7" t="n"/>
      <c r="B40" s="9" t="n"/>
      <c r="C40" s="9" t="n"/>
      <c r="D40" s="9" t="n"/>
      <c r="E40" s="9" t="n"/>
      <c r="F40" s="9" t="n"/>
      <c r="G40" s="8" t="n"/>
      <c r="H40" s="8" t="n"/>
    </row>
    <row r="41" ht="15.75" customHeight="1" s="34">
      <c r="A41" s="7" t="n"/>
      <c r="B41" s="9" t="n"/>
      <c r="C41" s="9" t="n"/>
      <c r="D41" s="9" t="n"/>
      <c r="E41" s="9" t="n"/>
      <c r="F41" s="9" t="n"/>
      <c r="G41" s="8" t="n"/>
      <c r="H41" s="8" t="n"/>
    </row>
    <row r="42" ht="15.75" customHeight="1" s="34">
      <c r="A42" s="7" t="n"/>
      <c r="B42" s="9" t="n"/>
      <c r="C42" s="9" t="n"/>
      <c r="D42" s="9" t="n"/>
      <c r="E42" s="9" t="n"/>
      <c r="F42" s="9" t="n"/>
      <c r="G42" s="8" t="n"/>
      <c r="H42" s="8" t="n"/>
    </row>
    <row r="43" ht="15.75" customHeight="1" s="34">
      <c r="A43" s="7" t="n"/>
      <c r="B43" s="9" t="n"/>
      <c r="C43" s="9" t="n"/>
      <c r="D43" s="9" t="n"/>
      <c r="E43" s="9" t="n"/>
      <c r="F43" s="9" t="n"/>
      <c r="G43" s="8" t="n"/>
      <c r="H43" s="8" t="n"/>
    </row>
    <row r="44" ht="15.75" customHeight="1" s="34">
      <c r="A44" s="7" t="n"/>
      <c r="B44" s="9" t="n"/>
      <c r="C44" s="9" t="n"/>
      <c r="D44" s="9" t="n"/>
      <c r="E44" s="9" t="n"/>
      <c r="F44" s="9" t="n"/>
      <c r="G44" s="8" t="n"/>
      <c r="H44" s="8" t="n"/>
    </row>
    <row r="45" ht="15.75" customHeight="1" s="34">
      <c r="A45" s="7" t="n"/>
      <c r="B45" s="9" t="n"/>
      <c r="C45" s="9" t="n"/>
      <c r="D45" s="9" t="n"/>
      <c r="E45" s="9" t="n"/>
      <c r="F45" s="9" t="n"/>
      <c r="G45" s="8" t="n"/>
      <c r="H45" s="8" t="n"/>
    </row>
    <row r="46" ht="15.75" customHeight="1" s="34">
      <c r="A46" s="7" t="n"/>
      <c r="B46" s="9" t="n"/>
      <c r="C46" s="9" t="n"/>
      <c r="D46" s="9" t="n"/>
      <c r="E46" s="9" t="n"/>
      <c r="F46" s="9" t="n"/>
      <c r="G46" s="8" t="n"/>
      <c r="H46" s="8" t="n"/>
    </row>
    <row r="47" ht="15.75" customHeight="1" s="34">
      <c r="A47" s="7" t="n"/>
      <c r="B47" s="9" t="n"/>
      <c r="C47" s="9" t="n"/>
      <c r="D47" s="9" t="n"/>
      <c r="E47" s="9" t="n"/>
      <c r="F47" s="9" t="n"/>
      <c r="G47" s="8" t="n"/>
      <c r="H47" s="8" t="n"/>
    </row>
    <row r="48" ht="15.75" customHeight="1" s="34">
      <c r="A48" s="7" t="n"/>
      <c r="B48" s="9" t="n"/>
      <c r="C48" s="9" t="n"/>
      <c r="D48" s="9" t="n"/>
      <c r="E48" s="9" t="n"/>
      <c r="F48" s="9" t="n"/>
      <c r="G48" s="8" t="n"/>
      <c r="H48" s="8" t="n"/>
    </row>
    <row r="49" ht="15.75" customHeight="1" s="34">
      <c r="A49" s="7" t="n"/>
      <c r="B49" s="9" t="n"/>
      <c r="C49" s="9" t="n"/>
      <c r="D49" s="9" t="n"/>
      <c r="E49" s="9" t="n"/>
      <c r="F49" s="9" t="n"/>
      <c r="G49" s="8" t="n"/>
      <c r="H49" s="8" t="n"/>
    </row>
    <row r="50" ht="15.75" customHeight="1" s="34">
      <c r="A50" s="7" t="n"/>
      <c r="B50" s="9" t="n"/>
      <c r="C50" s="9" t="n"/>
      <c r="D50" s="9" t="n"/>
      <c r="E50" s="9" t="n"/>
      <c r="F50" s="9" t="n"/>
      <c r="G50" s="8" t="n"/>
      <c r="H50" s="8" t="n"/>
    </row>
    <row r="51" ht="15.75" customHeight="1" s="34">
      <c r="A51" s="7" t="n"/>
      <c r="B51" s="9" t="n"/>
      <c r="C51" s="9" t="n"/>
      <c r="D51" s="9" t="n"/>
      <c r="E51" s="9" t="n"/>
      <c r="F51" s="9" t="n"/>
      <c r="G51" s="8" t="n"/>
      <c r="H51" s="8" t="n"/>
    </row>
    <row r="52" ht="15.75" customHeight="1" s="34">
      <c r="A52" s="7" t="n"/>
      <c r="B52" s="9" t="n"/>
      <c r="C52" s="9" t="n"/>
      <c r="D52" s="9" t="n"/>
      <c r="E52" s="9" t="n"/>
      <c r="F52" s="9" t="n"/>
      <c r="G52" s="8" t="n"/>
      <c r="H52" s="8" t="n"/>
    </row>
    <row r="53" ht="15.75" customHeight="1" s="34">
      <c r="A53" s="7" t="n"/>
      <c r="B53" s="9" t="n"/>
      <c r="C53" s="9" t="n"/>
      <c r="D53" s="9" t="n"/>
      <c r="E53" s="9" t="n"/>
      <c r="F53" s="9" t="n"/>
      <c r="G53" s="8" t="n"/>
      <c r="H53" s="8" t="n"/>
    </row>
    <row r="54" ht="15.75" customHeight="1" s="34">
      <c r="A54" s="7" t="n"/>
      <c r="B54" s="9" t="n"/>
      <c r="C54" s="9" t="n"/>
      <c r="D54" s="9" t="n"/>
      <c r="E54" s="9" t="n"/>
      <c r="F54" s="9" t="n"/>
      <c r="G54" s="8" t="n"/>
      <c r="H54" s="8" t="n"/>
    </row>
    <row r="55" ht="15.75" customHeight="1" s="34">
      <c r="A55" s="7" t="n"/>
      <c r="B55" s="9" t="n"/>
      <c r="C55" s="9" t="n"/>
      <c r="D55" s="9" t="n"/>
      <c r="E55" s="9" t="n"/>
      <c r="F55" s="9" t="n"/>
      <c r="G55" s="8" t="n"/>
      <c r="H55" s="8" t="n"/>
    </row>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C11"/>
  <sheetViews>
    <sheetView showGridLines="0" workbookViewId="0">
      <selection activeCell="A1" sqref="A1"/>
    </sheetView>
  </sheetViews>
  <sheetFormatPr baseColWidth="8" defaultColWidth="12.63" defaultRowHeight="15" customHeight="1"/>
  <cols>
    <col width="24" customWidth="1" style="34" min="1" max="1"/>
    <col width="14" customWidth="1" style="34" min="2" max="2"/>
    <col width="24" customWidth="1" style="34" min="3" max="3"/>
    <col width="8.630000000000001" customWidth="1" style="34" min="4" max="26"/>
  </cols>
  <sheetData>
    <row r="1" ht="30" customHeight="1" s="34">
      <c r="A1" s="1" t="inlineStr">
        <is>
          <t>Stages</t>
        </is>
      </c>
      <c r="B1" s="1" t="inlineStr">
        <is>
          <t>Priority</t>
        </is>
      </c>
      <c r="C1" s="1" t="inlineStr">
        <is>
          <t>Role Levels</t>
        </is>
      </c>
    </row>
    <row r="2">
      <c r="A2" s="4" t="inlineStr">
        <is>
          <t>Prospect</t>
        </is>
      </c>
      <c r="B2" s="4" t="inlineStr">
        <is>
          <t>A</t>
        </is>
      </c>
      <c r="C2" s="4" t="inlineStr">
        <is>
          <t>Director</t>
        </is>
      </c>
    </row>
    <row r="3">
      <c r="A3" s="4" t="inlineStr">
        <is>
          <t>Networking</t>
        </is>
      </c>
      <c r="B3" s="4" t="inlineStr">
        <is>
          <t>B</t>
        </is>
      </c>
      <c r="C3" s="4" t="inlineStr">
        <is>
          <t>Senior Director</t>
        </is>
      </c>
    </row>
    <row r="4">
      <c r="A4" s="4" t="inlineStr">
        <is>
          <t>Applied</t>
        </is>
      </c>
      <c r="B4" s="4" t="inlineStr">
        <is>
          <t>C</t>
        </is>
      </c>
      <c r="C4" s="4" t="inlineStr">
        <is>
          <t>VP</t>
        </is>
      </c>
    </row>
    <row r="5">
      <c r="A5" s="4" t="inlineStr">
        <is>
          <t>Recruiter Screen</t>
        </is>
      </c>
      <c r="C5" s="4" t="inlineStr">
        <is>
          <t>Managing Director</t>
        </is>
      </c>
    </row>
    <row r="6">
      <c r="A6" s="4" t="inlineStr">
        <is>
          <t>Interviewing</t>
        </is>
      </c>
      <c r="C6" s="4" t="inlineStr">
        <is>
          <t>Business Unit Leader</t>
        </is>
      </c>
    </row>
    <row r="7">
      <c r="A7" s="4" t="inlineStr">
        <is>
          <t>Final Round</t>
        </is>
      </c>
      <c r="C7" s="4" t="inlineStr">
        <is>
          <t>General Manager</t>
        </is>
      </c>
    </row>
    <row r="8">
      <c r="A8" s="4" t="inlineStr">
        <is>
          <t>Offer</t>
        </is>
      </c>
      <c r="C8" s="4" t="inlineStr">
        <is>
          <t>COO</t>
        </is>
      </c>
    </row>
    <row r="9">
      <c r="A9" s="4" t="inlineStr">
        <is>
          <t>Closed - Won</t>
        </is>
      </c>
    </row>
    <row r="10">
      <c r="A10" s="4" t="inlineStr">
        <is>
          <t>Closed - Lost</t>
        </is>
      </c>
    </row>
    <row r="11">
      <c r="A11" s="4" t="inlineStr">
        <is>
          <t>On Hold</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B8"/>
  <sheetViews>
    <sheetView showGridLines="0" workbookViewId="0">
      <selection activeCell="A1" sqref="A1"/>
    </sheetView>
  </sheetViews>
  <sheetFormatPr baseColWidth="8" defaultColWidth="12.63" defaultRowHeight="15" customHeight="1"/>
  <cols>
    <col width="20" customWidth="1" style="34" min="1" max="1"/>
    <col width="95" customWidth="1" style="34" min="2" max="2"/>
    <col width="8.630000000000001" customWidth="1" style="34" min="3" max="26"/>
  </cols>
  <sheetData>
    <row r="1" ht="30" customHeight="1" s="34">
      <c r="A1" s="3" t="inlineStr">
        <is>
          <t>SYSTEM USE</t>
        </is>
      </c>
      <c r="B1" s="3" t="inlineStr">
        <is>
          <t>GUIDANCE</t>
        </is>
      </c>
    </row>
    <row r="2">
      <c r="A2" s="8" t="inlineStr">
        <is>
          <t>Daily</t>
        </is>
      </c>
      <c r="B2" s="8" t="inlineStr">
        <is>
          <t>Capture new opportunities, record every touch, and leave one dated next action.</t>
        </is>
      </c>
    </row>
    <row r="3">
      <c r="A3" s="8" t="inlineStr">
        <is>
          <t>Weekly</t>
        </is>
      </c>
      <c r="B3" s="8" t="inlineStr">
        <is>
          <t>Update Weekly Activity, clear overdue follow-ups, review all A-priority opportunities, and prepare the Weekly Executive Brief.</t>
        </is>
      </c>
    </row>
    <row r="4">
      <c r="A4" s="8" t="inlineStr">
        <is>
          <t>Fit score</t>
        </is>
      </c>
      <c r="B4" s="8" t="inlineStr">
        <is>
          <t>Score 0-100 using role scope, industry adjacency, operating complexity, leadership mandate, geography, and compensation.</t>
        </is>
      </c>
    </row>
    <row r="5">
      <c r="A5" s="8" t="inlineStr">
        <is>
          <t>Priority A</t>
        </is>
      </c>
      <c r="B5" s="8" t="inlineStr">
        <is>
          <t>Strong fit plus a credible access path or urgent strategic reason to engage.</t>
        </is>
      </c>
    </row>
    <row r="6">
      <c r="A6" s="8" t="inlineStr">
        <is>
          <t>Priority B</t>
        </is>
      </c>
      <c r="B6" s="8" t="inlineStr">
        <is>
          <t>Good fit; pursue when there is a specific thesis and tailored materials.</t>
        </is>
      </c>
    </row>
    <row r="7">
      <c r="A7" s="8" t="inlineStr">
        <is>
          <t>Priority C</t>
        </is>
      </c>
      <c r="B7" s="8" t="inlineStr">
        <is>
          <t>Exploratory or low-conviction; do not crowd out A/B work.</t>
        </is>
      </c>
    </row>
    <row r="8">
      <c r="A8" s="8" t="inlineStr">
        <is>
          <t>Data rule</t>
        </is>
      </c>
      <c r="B8" s="8" t="inlineStr">
        <is>
          <t>No active row is complete without Stage, Priority, Next Action, and Next Action Date.</t>
        </is>
      </c>
    </row>
    <row r="21" ht="15.75" customHeight="1" s="34"/>
    <row r="22" ht="15.75" customHeight="1" s="34"/>
    <row r="23" ht="15.75" customHeight="1" s="34"/>
    <row r="24" ht="15.75" customHeight="1" s="34"/>
    <row r="25" ht="15.75" customHeight="1" s="34"/>
    <row r="26" ht="15.75" customHeight="1" s="34"/>
    <row r="27" ht="15.75" customHeight="1" s="34"/>
    <row r="28" ht="15.75" customHeight="1" s="34"/>
    <row r="29" ht="15.75" customHeight="1" s="34"/>
    <row r="30" ht="15.75" customHeight="1" s="34"/>
    <row r="31" ht="15.75" customHeight="1" s="34"/>
    <row r="32" ht="15.75" customHeight="1" s="34"/>
    <row r="33" ht="15.75" customHeight="1" s="34"/>
    <row r="34" ht="15.75" customHeight="1" s="34"/>
    <row r="35" ht="15.75" customHeight="1" s="34"/>
    <row r="36" ht="15.75" customHeight="1" s="34"/>
    <row r="37" ht="15.75" customHeight="1" s="34"/>
    <row r="38" ht="15.75" customHeight="1" s="34"/>
    <row r="39" ht="15.75" customHeight="1" s="34"/>
    <row r="40" ht="15.75" customHeight="1" s="34"/>
    <row r="41" ht="15.75" customHeight="1" s="34"/>
    <row r="42" ht="15.75" customHeight="1" s="34"/>
    <row r="43" ht="15.75" customHeight="1" s="34"/>
    <row r="44" ht="15.75" customHeight="1" s="34"/>
    <row r="45" ht="15.75" customHeight="1" s="34"/>
    <row r="46" ht="15.75" customHeight="1" s="34"/>
    <row r="47" ht="15.75" customHeight="1" s="34"/>
    <row r="48" ht="15.75" customHeight="1" s="34"/>
    <row r="49" ht="15.75" customHeight="1" s="34"/>
    <row r="50" ht="15.75" customHeight="1" s="34"/>
    <row r="51" ht="15.75" customHeight="1" s="34"/>
    <row r="52" ht="15.75" customHeight="1" s="34"/>
    <row r="53" ht="15.75" customHeight="1" s="34"/>
    <row r="54" ht="15.75" customHeight="1" s="34"/>
    <row r="55" ht="15.75" customHeight="1" s="34"/>
    <row r="56" ht="15.75" customHeight="1" s="34"/>
    <row r="57" ht="15.75" customHeight="1" s="34"/>
    <row r="58" ht="15.75" customHeight="1" s="34"/>
    <row r="59" ht="15.75" customHeight="1" s="34"/>
    <row r="60" ht="15.75" customHeight="1" s="34"/>
    <row r="61" ht="15.75" customHeight="1" s="34"/>
    <row r="62" ht="15.75" customHeight="1" s="34"/>
    <row r="63" ht="15.75" customHeight="1" s="34"/>
    <row r="64" ht="15.75" customHeight="1" s="34"/>
    <row r="65" ht="15.75" customHeight="1" s="34"/>
    <row r="66" ht="15.75" customHeight="1" s="34"/>
    <row r="67" ht="15.75" customHeight="1" s="34"/>
    <row r="68" ht="15.75" customHeight="1" s="34"/>
    <row r="69" ht="15.75" customHeight="1" s="34"/>
    <row r="70" ht="15.75" customHeight="1" s="34"/>
    <row r="71" ht="15.75" customHeight="1" s="34"/>
    <row r="72" ht="15.75" customHeight="1" s="34"/>
    <row r="73" ht="15.75" customHeight="1" s="34"/>
    <row r="74" ht="15.75" customHeight="1" s="34"/>
    <row r="75" ht="15.75" customHeight="1" s="34"/>
    <row r="76" ht="15.75" customHeight="1" s="34"/>
    <row r="77" ht="15.75" customHeight="1" s="34"/>
    <row r="78" ht="15.75" customHeight="1" s="34"/>
    <row r="79" ht="15.75" customHeight="1" s="34"/>
    <row r="80" ht="15.75" customHeight="1" s="34"/>
    <row r="81" ht="15.75" customHeight="1" s="34"/>
    <row r="82" ht="15.75" customHeight="1" s="34"/>
    <row r="83" ht="15.75" customHeight="1" s="34"/>
    <row r="84" ht="15.75" customHeight="1" s="34"/>
    <row r="85" ht="15.75" customHeight="1" s="34"/>
    <row r="86" ht="15.75" customHeight="1" s="34"/>
    <row r="87" ht="15.75" customHeight="1" s="34"/>
    <row r="88" ht="15.75" customHeight="1" s="34"/>
    <row r="89" ht="15.75" customHeight="1" s="34"/>
    <row r="90" ht="15.75" customHeight="1" s="34"/>
    <row r="91" ht="15.75" customHeight="1" s="34"/>
    <row r="92" ht="15.75" customHeight="1" s="34"/>
    <row r="93" ht="15.75" customHeight="1" s="34"/>
    <row r="94" ht="15.75" customHeight="1" s="34"/>
    <row r="95" ht="15.75" customHeight="1" s="34"/>
    <row r="96" ht="15.75" customHeight="1" s="34"/>
    <row r="97" ht="15.75" customHeight="1" s="34"/>
    <row r="98" ht="15.75" customHeight="1" s="34"/>
    <row r="99" ht="15.75" customHeight="1" s="34"/>
    <row r="100" ht="15.75" customHeight="1" s="34"/>
    <row r="101" ht="15.75" customHeight="1" s="34"/>
    <row r="102" ht="15.75" customHeight="1" s="34"/>
    <row r="103" ht="15.75" customHeight="1" s="34"/>
    <row r="104" ht="15.75" customHeight="1" s="34"/>
    <row r="105" ht="15.75" customHeight="1" s="34"/>
    <row r="106" ht="15.75" customHeight="1" s="34"/>
    <row r="107" ht="15.75" customHeight="1" s="34"/>
    <row r="108" ht="15.75" customHeight="1" s="34"/>
    <row r="109" ht="15.75" customHeight="1" s="34"/>
    <row r="110" ht="15.75" customHeight="1" s="34"/>
    <row r="111" ht="15.75" customHeight="1" s="34"/>
    <row r="112" ht="15.75" customHeight="1" s="34"/>
    <row r="113" ht="15.75" customHeight="1" s="34"/>
    <row r="114" ht="15.75" customHeight="1" s="34"/>
    <row r="115" ht="15.75" customHeight="1" s="34"/>
    <row r="116" ht="15.75" customHeight="1" s="34"/>
    <row r="117" ht="15.75" customHeight="1" s="34"/>
    <row r="118" ht="15.75" customHeight="1" s="34"/>
    <row r="119" ht="15.75" customHeight="1" s="34"/>
    <row r="120" ht="15.75" customHeight="1" s="34"/>
    <row r="121" ht="15.75" customHeight="1" s="34"/>
    <row r="122" ht="15.75" customHeight="1" s="34"/>
    <row r="123" ht="15.75" customHeight="1" s="34"/>
    <row r="124" ht="15.75" customHeight="1" s="34"/>
    <row r="125" ht="15.75" customHeight="1" s="34"/>
    <row r="126" ht="15.75" customHeight="1" s="34"/>
    <row r="127" ht="15.75" customHeight="1" s="34"/>
    <row r="128" ht="15.75" customHeight="1" s="34"/>
    <row r="129" ht="15.75" customHeight="1" s="34"/>
    <row r="130" ht="15.75" customHeight="1" s="34"/>
    <row r="131" ht="15.75" customHeight="1" s="34"/>
    <row r="132" ht="15.75" customHeight="1" s="34"/>
    <row r="133" ht="15.75" customHeight="1" s="34"/>
    <row r="134" ht="15.75" customHeight="1" s="34"/>
    <row r="135" ht="15.75" customHeight="1" s="34"/>
    <row r="136" ht="15.75" customHeight="1" s="34"/>
    <row r="137" ht="15.75" customHeight="1" s="34"/>
    <row r="138" ht="15.75" customHeight="1" s="34"/>
    <row r="139" ht="15.75" customHeight="1" s="34"/>
    <row r="140" ht="15.75" customHeight="1" s="34"/>
    <row r="141" ht="15.75" customHeight="1" s="34"/>
    <row r="142" ht="15.75" customHeight="1" s="34"/>
    <row r="143" ht="15.75" customHeight="1" s="34"/>
    <row r="144" ht="15.75" customHeight="1" s="34"/>
    <row r="145" ht="15.75" customHeight="1" s="34"/>
    <row r="146" ht="15.75" customHeight="1" s="34"/>
    <row r="147" ht="15.75" customHeight="1" s="34"/>
    <row r="148" ht="15.75" customHeight="1" s="34"/>
    <row r="149" ht="15.75" customHeight="1" s="34"/>
    <row r="150" ht="15.75" customHeight="1" s="34"/>
    <row r="151" ht="15.75" customHeight="1" s="34"/>
    <row r="152" ht="15.75" customHeight="1" s="34"/>
    <row r="153" ht="15.75" customHeight="1" s="34"/>
    <row r="154" ht="15.75" customHeight="1" s="34"/>
    <row r="155" ht="15.75" customHeight="1" s="34"/>
    <row r="156" ht="15.75" customHeight="1" s="34"/>
    <row r="157" ht="15.75" customHeight="1" s="34"/>
    <row r="158" ht="15.75" customHeight="1" s="34"/>
    <row r="159" ht="15.75" customHeight="1" s="34"/>
    <row r="160" ht="15.75" customHeight="1" s="34"/>
    <row r="161" ht="15.75" customHeight="1" s="34"/>
    <row r="162" ht="15.75" customHeight="1" s="34"/>
    <row r="163" ht="15.75" customHeight="1" s="34"/>
    <row r="164" ht="15.75" customHeight="1" s="34"/>
    <row r="165" ht="15.75" customHeight="1" s="34"/>
    <row r="166" ht="15.75" customHeight="1" s="34"/>
    <row r="167" ht="15.75" customHeight="1" s="34"/>
    <row r="168" ht="15.75" customHeight="1" s="34"/>
    <row r="169" ht="15.75" customHeight="1" s="34"/>
    <row r="170" ht="15.75" customHeight="1" s="34"/>
    <row r="171" ht="15.75" customHeight="1" s="34"/>
    <row r="172" ht="15.75" customHeight="1" s="34"/>
    <row r="173" ht="15.75" customHeight="1" s="34"/>
    <row r="174" ht="15.75" customHeight="1" s="34"/>
    <row r="175" ht="15.75" customHeight="1" s="34"/>
    <row r="176" ht="15.75" customHeight="1" s="34"/>
    <row r="177" ht="15.75" customHeight="1" s="34"/>
    <row r="178" ht="15.75" customHeight="1" s="34"/>
    <row r="179" ht="15.75" customHeight="1" s="34"/>
    <row r="180" ht="15.75" customHeight="1" s="34"/>
    <row r="181" ht="15.75" customHeight="1" s="34"/>
    <row r="182" ht="15.75" customHeight="1" s="34"/>
    <row r="183" ht="15.75" customHeight="1" s="34"/>
    <row r="184" ht="15.75" customHeight="1" s="34"/>
    <row r="185" ht="15.75" customHeight="1" s="34"/>
    <row r="186" ht="15.75" customHeight="1" s="34"/>
    <row r="187" ht="15.75" customHeight="1" s="34"/>
    <row r="188" ht="15.75" customHeight="1" s="34"/>
    <row r="189" ht="15.75" customHeight="1" s="34"/>
    <row r="190" ht="15.75" customHeight="1" s="34"/>
    <row r="191" ht="15.75" customHeight="1" s="34"/>
    <row r="192" ht="15.75" customHeight="1" s="34"/>
    <row r="193" ht="15.75" customHeight="1" s="34"/>
    <row r="194" ht="15.75" customHeight="1" s="34"/>
    <row r="195" ht="15.75" customHeight="1" s="34"/>
    <row r="196" ht="15.75" customHeight="1" s="34"/>
    <row r="197" ht="15.75" customHeight="1" s="34"/>
    <row r="198" ht="15.75" customHeight="1" s="34"/>
    <row r="199" ht="15.75" customHeight="1" s="34"/>
    <row r="200" ht="15.75" customHeight="1" s="34"/>
    <row r="201" ht="15.75" customHeight="1" s="34"/>
    <row r="202" ht="15.75" customHeight="1" s="34"/>
    <row r="203" ht="15.75" customHeight="1" s="34"/>
    <row r="204" ht="15.75" customHeight="1" s="34"/>
    <row r="205" ht="15.75" customHeight="1" s="34"/>
    <row r="206" ht="15.75" customHeight="1" s="34"/>
    <row r="207" ht="15.75" customHeight="1" s="34"/>
    <row r="208" ht="15.75" customHeight="1" s="34"/>
    <row r="209" ht="15.75" customHeight="1" s="34"/>
    <row r="210" ht="15.75" customHeight="1" s="34"/>
    <row r="211" ht="15.75" customHeight="1" s="34"/>
    <row r="212" ht="15.75" customHeight="1" s="34"/>
    <row r="213" ht="15.75" customHeight="1" s="34"/>
    <row r="214" ht="15.75" customHeight="1" s="34"/>
    <row r="215" ht="15.75" customHeight="1" s="34"/>
    <row r="216" ht="15.75" customHeight="1" s="34"/>
    <row r="217" ht="15.75" customHeight="1" s="34"/>
    <row r="218" ht="15.75" customHeight="1" s="34"/>
    <row r="219" ht="15.75" customHeight="1" s="34"/>
    <row r="220" ht="15.75" customHeight="1" s="34"/>
    <row r="221" ht="15.75" customHeight="1" s="34"/>
    <row r="222" ht="15.75" customHeight="1" s="34"/>
    <row r="223" ht="15.75" customHeight="1" s="34"/>
    <row r="224" ht="15.75" customHeight="1" s="34"/>
    <row r="225" ht="15.75" customHeight="1" s="34"/>
    <row r="226" ht="15.75" customHeight="1" s="34"/>
    <row r="227" ht="15.75" customHeight="1" s="34"/>
    <row r="228" ht="15.75" customHeight="1" s="34"/>
    <row r="229" ht="15.75" customHeight="1" s="34"/>
    <row r="230" ht="15.75" customHeight="1" s="34"/>
    <row r="231" ht="15.75" customHeight="1" s="34"/>
    <row r="232" ht="15.75" customHeight="1" s="34"/>
    <row r="233" ht="15.75" customHeight="1" s="34"/>
    <row r="234" ht="15.75" customHeight="1" s="34"/>
    <row r="235" ht="15.75" customHeight="1" s="34"/>
    <row r="236" ht="15.75" customHeight="1" s="34"/>
    <row r="237" ht="15.75" customHeight="1" s="34"/>
    <row r="238" ht="15.75" customHeight="1" s="34"/>
    <row r="239" ht="15.75" customHeight="1" s="34"/>
    <row r="240" ht="15.75" customHeight="1" s="34"/>
    <row r="241" ht="15.75" customHeight="1" s="34"/>
    <row r="242" ht="15.75" customHeight="1" s="34"/>
    <row r="243" ht="15.75" customHeight="1" s="34"/>
    <row r="244" ht="15.75" customHeight="1" s="34"/>
    <row r="245" ht="15.75" customHeight="1" s="34"/>
    <row r="246" ht="15.75" customHeight="1" s="34"/>
    <row r="247" ht="15.75" customHeight="1" s="34"/>
    <row r="248" ht="15.75" customHeight="1" s="34"/>
    <row r="249" ht="15.75" customHeight="1" s="34"/>
    <row r="250" ht="15.75" customHeight="1" s="34"/>
    <row r="251" ht="15.75" customHeight="1" s="34"/>
    <row r="252" ht="15.75" customHeight="1" s="34"/>
    <row r="253" ht="15.75" customHeight="1" s="34"/>
    <row r="254" ht="15.75" customHeight="1" s="34"/>
    <row r="255" ht="15.75" customHeight="1" s="34"/>
    <row r="256" ht="15.75" customHeight="1" s="34"/>
    <row r="257" ht="15.75" customHeight="1" s="34"/>
    <row r="258" ht="15.75" customHeight="1" s="34"/>
    <row r="259" ht="15.75" customHeight="1" s="34"/>
    <row r="260" ht="15.75" customHeight="1" s="34"/>
    <row r="261" ht="15.75" customHeight="1" s="34"/>
    <row r="262" ht="15.75" customHeight="1" s="34"/>
    <row r="263" ht="15.75" customHeight="1" s="34"/>
    <row r="264" ht="15.75" customHeight="1" s="34"/>
    <row r="265" ht="15.75" customHeight="1" s="34"/>
    <row r="266" ht="15.75" customHeight="1" s="34"/>
    <row r="267" ht="15.75" customHeight="1" s="34"/>
    <row r="268" ht="15.75" customHeight="1" s="34"/>
    <row r="269" ht="15.75" customHeight="1" s="34"/>
    <row r="270" ht="15.75" customHeight="1" s="34"/>
    <row r="271" ht="15.75" customHeight="1" s="34"/>
    <row r="272" ht="15.75" customHeight="1" s="34"/>
    <row r="273" ht="15.75" customHeight="1" s="34"/>
    <row r="274" ht="15.75" customHeight="1" s="34"/>
    <row r="275" ht="15.75" customHeight="1" s="34"/>
    <row r="276" ht="15.75" customHeight="1" s="34"/>
    <row r="277" ht="15.75" customHeight="1" s="34"/>
    <row r="278" ht="15.75" customHeight="1" s="34"/>
    <row r="279" ht="15.75" customHeight="1" s="34"/>
    <row r="280" ht="15.75" customHeight="1" s="34"/>
    <row r="281" ht="15.75" customHeight="1" s="34"/>
    <row r="282" ht="15.75" customHeight="1" s="34"/>
    <row r="283" ht="15.75" customHeight="1" s="34"/>
    <row r="284" ht="15.75" customHeight="1" s="34"/>
    <row r="285" ht="15.75" customHeight="1" s="34"/>
    <row r="286" ht="15.75" customHeight="1" s="34"/>
    <row r="287" ht="15.75" customHeight="1" s="34"/>
    <row r="288" ht="15.75" customHeight="1" s="34"/>
    <row r="289" ht="15.75" customHeight="1" s="34"/>
    <row r="290" ht="15.75" customHeight="1" s="34"/>
    <row r="291" ht="15.75" customHeight="1" s="34"/>
    <row r="292" ht="15.75" customHeight="1" s="34"/>
    <row r="293" ht="15.75" customHeight="1" s="34"/>
    <row r="294" ht="15.75" customHeight="1" s="34"/>
    <row r="295" ht="15.75" customHeight="1" s="34"/>
    <row r="296" ht="15.75" customHeight="1" s="34"/>
    <row r="297" ht="15.75" customHeight="1" s="34"/>
    <row r="298" ht="15.75" customHeight="1" s="34"/>
    <row r="299" ht="15.75" customHeight="1" s="34"/>
    <row r="300" ht="15.75" customHeight="1" s="34"/>
    <row r="301" ht="15.75" customHeight="1" s="34"/>
    <row r="302" ht="15.75" customHeight="1" s="34"/>
    <row r="303" ht="15.75" customHeight="1" s="34"/>
    <row r="304" ht="15.75" customHeight="1" s="34"/>
    <row r="305" ht="15.75" customHeight="1" s="34"/>
    <row r="306" ht="15.75" customHeight="1" s="34"/>
    <row r="307" ht="15.75" customHeight="1" s="34"/>
    <row r="308" ht="15.75" customHeight="1" s="34"/>
    <row r="309" ht="15.75" customHeight="1" s="34"/>
    <row r="310" ht="15.75" customHeight="1" s="34"/>
    <row r="311" ht="15.75" customHeight="1" s="34"/>
    <row r="312" ht="15.75" customHeight="1" s="34"/>
    <row r="313" ht="15.75" customHeight="1" s="34"/>
    <row r="314" ht="15.75" customHeight="1" s="34"/>
    <row r="315" ht="15.75" customHeight="1" s="34"/>
    <row r="316" ht="15.75" customHeight="1" s="34"/>
    <row r="317" ht="15.75" customHeight="1" s="34"/>
    <row r="318" ht="15.75" customHeight="1" s="34"/>
    <row r="319" ht="15.75" customHeight="1" s="34"/>
    <row r="320" ht="15.75" customHeight="1" s="34"/>
    <row r="321" ht="15.75" customHeight="1" s="34"/>
    <row r="322" ht="15.75" customHeight="1" s="34"/>
    <row r="323" ht="15.75" customHeight="1" s="34"/>
    <row r="324" ht="15.75" customHeight="1" s="34"/>
    <row r="325" ht="15.75" customHeight="1" s="34"/>
    <row r="326" ht="15.75" customHeight="1" s="34"/>
    <row r="327" ht="15.75" customHeight="1" s="34"/>
    <row r="328" ht="15.75" customHeight="1" s="34"/>
    <row r="329" ht="15.75" customHeight="1" s="34"/>
    <row r="330" ht="15.75" customHeight="1" s="34"/>
    <row r="331" ht="15.75" customHeight="1" s="34"/>
    <row r="332" ht="15.75" customHeight="1" s="34"/>
    <row r="333" ht="15.75" customHeight="1" s="34"/>
    <row r="334" ht="15.75" customHeight="1" s="34"/>
    <row r="335" ht="15.75" customHeight="1" s="34"/>
    <row r="336" ht="15.75" customHeight="1" s="34"/>
    <row r="337" ht="15.75" customHeight="1" s="34"/>
    <row r="338" ht="15.75" customHeight="1" s="34"/>
    <row r="339" ht="15.75" customHeight="1" s="34"/>
    <row r="340" ht="15.75" customHeight="1" s="34"/>
    <row r="341" ht="15.75" customHeight="1" s="34"/>
    <row r="342" ht="15.75" customHeight="1" s="34"/>
    <row r="343" ht="15.75" customHeight="1" s="34"/>
    <row r="344" ht="15.75" customHeight="1" s="34"/>
    <row r="345" ht="15.75" customHeight="1" s="34"/>
    <row r="346" ht="15.75" customHeight="1" s="34"/>
    <row r="347" ht="15.75" customHeight="1" s="34"/>
    <row r="348" ht="15.75" customHeight="1" s="34"/>
    <row r="349" ht="15.75" customHeight="1" s="34"/>
    <row r="350" ht="15.75" customHeight="1" s="34"/>
    <row r="351" ht="15.75" customHeight="1" s="34"/>
    <row r="352" ht="15.75" customHeight="1" s="34"/>
    <row r="353" ht="15.75" customHeight="1" s="34"/>
    <row r="354" ht="15.75" customHeight="1" s="34"/>
    <row r="355" ht="15.75" customHeight="1" s="34"/>
    <row r="356" ht="15.75" customHeight="1" s="34"/>
    <row r="357" ht="15.75" customHeight="1" s="34"/>
    <row r="358" ht="15.75" customHeight="1" s="34"/>
    <row r="359" ht="15.75" customHeight="1" s="34"/>
    <row r="360" ht="15.75" customHeight="1" s="34"/>
    <row r="361" ht="15.75" customHeight="1" s="34"/>
    <row r="362" ht="15.75" customHeight="1" s="34"/>
    <row r="363" ht="15.75" customHeight="1" s="34"/>
    <row r="364" ht="15.75" customHeight="1" s="34"/>
    <row r="365" ht="15.75" customHeight="1" s="34"/>
    <row r="366" ht="15.75" customHeight="1" s="34"/>
    <row r="367" ht="15.75" customHeight="1" s="34"/>
    <row r="368" ht="15.75" customHeight="1" s="34"/>
    <row r="369" ht="15.75" customHeight="1" s="34"/>
    <row r="370" ht="15.75" customHeight="1" s="34"/>
    <row r="371" ht="15.75" customHeight="1" s="34"/>
    <row r="372" ht="15.75" customHeight="1" s="34"/>
    <row r="373" ht="15.75" customHeight="1" s="34"/>
    <row r="374" ht="15.75" customHeight="1" s="34"/>
    <row r="375" ht="15.75" customHeight="1" s="34"/>
    <row r="376" ht="15.75" customHeight="1" s="34"/>
    <row r="377" ht="15.75" customHeight="1" s="34"/>
    <row r="378" ht="15.75" customHeight="1" s="34"/>
    <row r="379" ht="15.75" customHeight="1" s="34"/>
    <row r="380" ht="15.75" customHeight="1" s="34"/>
    <row r="381" ht="15.75" customHeight="1" s="34"/>
    <row r="382" ht="15.75" customHeight="1" s="34"/>
    <row r="383" ht="15.75" customHeight="1" s="34"/>
    <row r="384" ht="15.75" customHeight="1" s="34"/>
    <row r="385" ht="15.75" customHeight="1" s="34"/>
    <row r="386" ht="15.75" customHeight="1" s="34"/>
    <row r="387" ht="15.75" customHeight="1" s="34"/>
    <row r="388" ht="15.75" customHeight="1" s="34"/>
    <row r="389" ht="15.75" customHeight="1" s="34"/>
    <row r="390" ht="15.75" customHeight="1" s="34"/>
    <row r="391" ht="15.75" customHeight="1" s="34"/>
    <row r="392" ht="15.75" customHeight="1" s="34"/>
    <row r="393" ht="15.75" customHeight="1" s="34"/>
    <row r="394" ht="15.75" customHeight="1" s="34"/>
    <row r="395" ht="15.75" customHeight="1" s="34"/>
    <row r="396" ht="15.75" customHeight="1" s="34"/>
    <row r="397" ht="15.75" customHeight="1" s="34"/>
    <row r="398" ht="15.75" customHeight="1" s="34"/>
    <row r="399" ht="15.75" customHeight="1" s="34"/>
    <row r="400" ht="15.75" customHeight="1" s="34"/>
    <row r="401" ht="15.75" customHeight="1" s="34"/>
    <row r="402" ht="15.75" customHeight="1" s="34"/>
    <row r="403" ht="15.75" customHeight="1" s="34"/>
    <row r="404" ht="15.75" customHeight="1" s="34"/>
    <row r="405" ht="15.75" customHeight="1" s="34"/>
    <row r="406" ht="15.75" customHeight="1" s="34"/>
    <row r="407" ht="15.75" customHeight="1" s="34"/>
    <row r="408" ht="15.75" customHeight="1" s="34"/>
    <row r="409" ht="15.75" customHeight="1" s="34"/>
    <row r="410" ht="15.75" customHeight="1" s="34"/>
    <row r="411" ht="15.75" customHeight="1" s="34"/>
    <row r="412" ht="15.75" customHeight="1" s="34"/>
    <row r="413" ht="15.75" customHeight="1" s="34"/>
    <row r="414" ht="15.75" customHeight="1" s="34"/>
    <row r="415" ht="15.75" customHeight="1" s="34"/>
    <row r="416" ht="15.75" customHeight="1" s="34"/>
    <row r="417" ht="15.75" customHeight="1" s="34"/>
    <row r="418" ht="15.75" customHeight="1" s="34"/>
    <row r="419" ht="15.75" customHeight="1" s="34"/>
    <row r="420" ht="15.75" customHeight="1" s="34"/>
    <row r="421" ht="15.75" customHeight="1" s="34"/>
    <row r="422" ht="15.75" customHeight="1" s="34"/>
    <row r="423" ht="15.75" customHeight="1" s="34"/>
    <row r="424" ht="15.75" customHeight="1" s="34"/>
    <row r="425" ht="15.75" customHeight="1" s="34"/>
    <row r="426" ht="15.75" customHeight="1" s="34"/>
    <row r="427" ht="15.75" customHeight="1" s="34"/>
    <row r="428" ht="15.75" customHeight="1" s="34"/>
    <row r="429" ht="15.75" customHeight="1" s="34"/>
    <row r="430" ht="15.75" customHeight="1" s="34"/>
    <row r="431" ht="15.75" customHeight="1" s="34"/>
    <row r="432" ht="15.75" customHeight="1" s="34"/>
    <row r="433" ht="15.75" customHeight="1" s="34"/>
    <row r="434" ht="15.75" customHeight="1" s="34"/>
    <row r="435" ht="15.75" customHeight="1" s="34"/>
    <row r="436" ht="15.75" customHeight="1" s="34"/>
    <row r="437" ht="15.75" customHeight="1" s="34"/>
    <row r="438" ht="15.75" customHeight="1" s="34"/>
    <row r="439" ht="15.75" customHeight="1" s="34"/>
    <row r="440" ht="15.75" customHeight="1" s="34"/>
    <row r="441" ht="15.75" customHeight="1" s="34"/>
    <row r="442" ht="15.75" customHeight="1" s="34"/>
    <row r="443" ht="15.75" customHeight="1" s="34"/>
    <row r="444" ht="15.75" customHeight="1" s="34"/>
    <row r="445" ht="15.75" customHeight="1" s="34"/>
    <row r="446" ht="15.75" customHeight="1" s="34"/>
    <row r="447" ht="15.75" customHeight="1" s="34"/>
    <row r="448" ht="15.75" customHeight="1" s="34"/>
    <row r="449" ht="15.75" customHeight="1" s="34"/>
    <row r="450" ht="15.75" customHeight="1" s="34"/>
    <row r="451" ht="15.75" customHeight="1" s="34"/>
    <row r="452" ht="15.75" customHeight="1" s="34"/>
    <row r="453" ht="15.75" customHeight="1" s="34"/>
    <row r="454" ht="15.75" customHeight="1" s="34"/>
    <row r="455" ht="15.75" customHeight="1" s="34"/>
    <row r="456" ht="15.75" customHeight="1" s="34"/>
    <row r="457" ht="15.75" customHeight="1" s="34"/>
    <row r="458" ht="15.75" customHeight="1" s="34"/>
    <row r="459" ht="15.75" customHeight="1" s="34"/>
    <row r="460" ht="15.75" customHeight="1" s="34"/>
    <row r="461" ht="15.75" customHeight="1" s="34"/>
    <row r="462" ht="15.75" customHeight="1" s="34"/>
    <row r="463" ht="15.75" customHeight="1" s="34"/>
    <row r="464" ht="15.75" customHeight="1" s="34"/>
    <row r="465" ht="15.75" customHeight="1" s="34"/>
    <row r="466" ht="15.75" customHeight="1" s="34"/>
    <row r="467" ht="15.75" customHeight="1" s="34"/>
    <row r="468" ht="15.75" customHeight="1" s="34"/>
    <row r="469" ht="15.75" customHeight="1" s="34"/>
    <row r="470" ht="15.75" customHeight="1" s="34"/>
    <row r="471" ht="15.75" customHeight="1" s="34"/>
    <row r="472" ht="15.75" customHeight="1" s="34"/>
    <row r="473" ht="15.75" customHeight="1" s="34"/>
    <row r="474" ht="15.75" customHeight="1" s="34"/>
    <row r="475" ht="15.75" customHeight="1" s="34"/>
    <row r="476" ht="15.75" customHeight="1" s="34"/>
    <row r="477" ht="15.75" customHeight="1" s="34"/>
    <row r="478" ht="15.75" customHeight="1" s="34"/>
    <row r="479" ht="15.75" customHeight="1" s="34"/>
    <row r="480" ht="15.75" customHeight="1" s="34"/>
    <row r="481" ht="15.75" customHeight="1" s="34"/>
    <row r="482" ht="15.75" customHeight="1" s="34"/>
    <row r="483" ht="15.75" customHeight="1" s="34"/>
    <row r="484" ht="15.75" customHeight="1" s="34"/>
    <row r="485" ht="15.75" customHeight="1" s="34"/>
    <row r="486" ht="15.75" customHeight="1" s="34"/>
    <row r="487" ht="15.75" customHeight="1" s="34"/>
    <row r="488" ht="15.75" customHeight="1" s="34"/>
    <row r="489" ht="15.75" customHeight="1" s="34"/>
    <row r="490" ht="15.75" customHeight="1" s="34"/>
    <row r="491" ht="15.75" customHeight="1" s="34"/>
    <row r="492" ht="15.75" customHeight="1" s="34"/>
    <row r="493" ht="15.75" customHeight="1" s="34"/>
    <row r="494" ht="15.75" customHeight="1" s="34"/>
    <row r="495" ht="15.75" customHeight="1" s="34"/>
    <row r="496" ht="15.75" customHeight="1" s="34"/>
    <row r="497" ht="15.75" customHeight="1" s="34"/>
    <row r="498" ht="15.75" customHeight="1" s="34"/>
    <row r="499" ht="15.75" customHeight="1" s="34"/>
    <row r="500" ht="15.75" customHeight="1" s="34"/>
    <row r="501" ht="15.75" customHeight="1" s="34"/>
    <row r="502" ht="15.75" customHeight="1" s="34"/>
    <row r="503" ht="15.75" customHeight="1" s="34"/>
    <row r="504" ht="15.75" customHeight="1" s="34"/>
    <row r="505" ht="15.75" customHeight="1" s="34"/>
    <row r="506" ht="15.75" customHeight="1" s="34"/>
    <row r="507" ht="15.75" customHeight="1" s="34"/>
    <row r="508" ht="15.75" customHeight="1" s="34"/>
    <row r="509" ht="15.75" customHeight="1" s="34"/>
    <row r="510" ht="15.75" customHeight="1" s="34"/>
    <row r="511" ht="15.75" customHeight="1" s="34"/>
    <row r="512" ht="15.75" customHeight="1" s="34"/>
    <row r="513" ht="15.75" customHeight="1" s="34"/>
    <row r="514" ht="15.75" customHeight="1" s="34"/>
    <row r="515" ht="15.75" customHeight="1" s="34"/>
    <row r="516" ht="15.75" customHeight="1" s="34"/>
    <row r="517" ht="15.75" customHeight="1" s="34"/>
    <row r="518" ht="15.75" customHeight="1" s="34"/>
    <row r="519" ht="15.75" customHeight="1" s="34"/>
    <row r="520" ht="15.75" customHeight="1" s="34"/>
    <row r="521" ht="15.75" customHeight="1" s="34"/>
    <row r="522" ht="15.75" customHeight="1" s="34"/>
    <row r="523" ht="15.75" customHeight="1" s="34"/>
    <row r="524" ht="15.75" customHeight="1" s="34"/>
    <row r="525" ht="15.75" customHeight="1" s="34"/>
    <row r="526" ht="15.75" customHeight="1" s="34"/>
    <row r="527" ht="15.75" customHeight="1" s="34"/>
    <row r="528" ht="15.75" customHeight="1" s="34"/>
    <row r="529" ht="15.75" customHeight="1" s="34"/>
    <row r="530" ht="15.75" customHeight="1" s="34"/>
    <row r="531" ht="15.75" customHeight="1" s="34"/>
    <row r="532" ht="15.75" customHeight="1" s="34"/>
    <row r="533" ht="15.75" customHeight="1" s="34"/>
    <row r="534" ht="15.75" customHeight="1" s="34"/>
    <row r="535" ht="15.75" customHeight="1" s="34"/>
    <row r="536" ht="15.75" customHeight="1" s="34"/>
    <row r="537" ht="15.75" customHeight="1" s="34"/>
    <row r="538" ht="15.75" customHeight="1" s="34"/>
    <row r="539" ht="15.75" customHeight="1" s="34"/>
    <row r="540" ht="15.75" customHeight="1" s="34"/>
    <row r="541" ht="15.75" customHeight="1" s="34"/>
    <row r="542" ht="15.75" customHeight="1" s="34"/>
    <row r="543" ht="15.75" customHeight="1" s="34"/>
    <row r="544" ht="15.75" customHeight="1" s="34"/>
    <row r="545" ht="15.75" customHeight="1" s="34"/>
    <row r="546" ht="15.75" customHeight="1" s="34"/>
    <row r="547" ht="15.75" customHeight="1" s="34"/>
    <row r="548" ht="15.75" customHeight="1" s="34"/>
    <row r="549" ht="15.75" customHeight="1" s="34"/>
    <row r="550" ht="15.75" customHeight="1" s="34"/>
    <row r="551" ht="15.75" customHeight="1" s="34"/>
    <row r="552" ht="15.75" customHeight="1" s="34"/>
    <row r="553" ht="15.75" customHeight="1" s="34"/>
    <row r="554" ht="15.75" customHeight="1" s="34"/>
    <row r="555" ht="15.75" customHeight="1" s="34"/>
    <row r="556" ht="15.75" customHeight="1" s="34"/>
    <row r="557" ht="15.75" customHeight="1" s="34"/>
    <row r="558" ht="15.75" customHeight="1" s="34"/>
    <row r="559" ht="15.75" customHeight="1" s="34"/>
    <row r="560" ht="15.75" customHeight="1" s="34"/>
    <row r="561" ht="15.75" customHeight="1" s="34"/>
    <row r="562" ht="15.75" customHeight="1" s="34"/>
    <row r="563" ht="15.75" customHeight="1" s="34"/>
    <row r="564" ht="15.75" customHeight="1" s="34"/>
    <row r="565" ht="15.75" customHeight="1" s="34"/>
    <row r="566" ht="15.75" customHeight="1" s="34"/>
    <row r="567" ht="15.75" customHeight="1" s="34"/>
    <row r="568" ht="15.75" customHeight="1" s="34"/>
    <row r="569" ht="15.75" customHeight="1" s="34"/>
    <row r="570" ht="15.75" customHeight="1" s="34"/>
    <row r="571" ht="15.75" customHeight="1" s="34"/>
    <row r="572" ht="15.75" customHeight="1" s="34"/>
    <row r="573" ht="15.75" customHeight="1" s="34"/>
    <row r="574" ht="15.75" customHeight="1" s="34"/>
    <row r="575" ht="15.75" customHeight="1" s="34"/>
    <row r="576" ht="15.75" customHeight="1" s="34"/>
    <row r="577" ht="15.75" customHeight="1" s="34"/>
    <row r="578" ht="15.75" customHeight="1" s="34"/>
    <row r="579" ht="15.75" customHeight="1" s="34"/>
    <row r="580" ht="15.75" customHeight="1" s="34"/>
    <row r="581" ht="15.75" customHeight="1" s="34"/>
    <row r="582" ht="15.75" customHeight="1" s="34"/>
    <row r="583" ht="15.75" customHeight="1" s="34"/>
    <row r="584" ht="15.75" customHeight="1" s="34"/>
    <row r="585" ht="15.75" customHeight="1" s="34"/>
    <row r="586" ht="15.75" customHeight="1" s="34"/>
    <row r="587" ht="15.75" customHeight="1" s="34"/>
    <row r="588" ht="15.75" customHeight="1" s="34"/>
    <row r="589" ht="15.75" customHeight="1" s="34"/>
    <row r="590" ht="15.75" customHeight="1" s="34"/>
    <row r="591" ht="15.75" customHeight="1" s="34"/>
    <row r="592" ht="15.75" customHeight="1" s="34"/>
    <row r="593" ht="15.75" customHeight="1" s="34"/>
    <row r="594" ht="15.75" customHeight="1" s="34"/>
    <row r="595" ht="15.75" customHeight="1" s="34"/>
    <row r="596" ht="15.75" customHeight="1" s="34"/>
    <row r="597" ht="15.75" customHeight="1" s="34"/>
    <row r="598" ht="15.75" customHeight="1" s="34"/>
    <row r="599" ht="15.75" customHeight="1" s="34"/>
    <row r="600" ht="15.75" customHeight="1" s="34"/>
    <row r="601" ht="15.75" customHeight="1" s="34"/>
    <row r="602" ht="15.75" customHeight="1" s="34"/>
    <row r="603" ht="15.75" customHeight="1" s="34"/>
    <row r="604" ht="15.75" customHeight="1" s="34"/>
    <row r="605" ht="15.75" customHeight="1" s="34"/>
    <row r="606" ht="15.75" customHeight="1" s="34"/>
    <row r="607" ht="15.75" customHeight="1" s="34"/>
    <row r="608" ht="15.75" customHeight="1" s="34"/>
    <row r="609" ht="15.75" customHeight="1" s="34"/>
    <row r="610" ht="15.75" customHeight="1" s="34"/>
    <row r="611" ht="15.75" customHeight="1" s="34"/>
    <row r="612" ht="15.75" customHeight="1" s="34"/>
    <row r="613" ht="15.75" customHeight="1" s="34"/>
    <row r="614" ht="15.75" customHeight="1" s="34"/>
    <row r="615" ht="15.75" customHeight="1" s="34"/>
    <row r="616" ht="15.75" customHeight="1" s="34"/>
    <row r="617" ht="15.75" customHeight="1" s="34"/>
    <row r="618" ht="15.75" customHeight="1" s="34"/>
    <row r="619" ht="15.75" customHeight="1" s="34"/>
    <row r="620" ht="15.75" customHeight="1" s="34"/>
    <row r="621" ht="15.75" customHeight="1" s="34"/>
    <row r="622" ht="15.75" customHeight="1" s="34"/>
    <row r="623" ht="15.75" customHeight="1" s="34"/>
    <row r="624" ht="15.75" customHeight="1" s="34"/>
    <row r="625" ht="15.75" customHeight="1" s="34"/>
    <row r="626" ht="15.75" customHeight="1" s="34"/>
    <row r="627" ht="15.75" customHeight="1" s="34"/>
    <row r="628" ht="15.75" customHeight="1" s="34"/>
    <row r="629" ht="15.75" customHeight="1" s="34"/>
    <row r="630" ht="15.75" customHeight="1" s="34"/>
    <row r="631" ht="15.75" customHeight="1" s="34"/>
    <row r="632" ht="15.75" customHeight="1" s="34"/>
    <row r="633" ht="15.75" customHeight="1" s="34"/>
    <row r="634" ht="15.75" customHeight="1" s="34"/>
    <row r="635" ht="15.75" customHeight="1" s="34"/>
    <row r="636" ht="15.75" customHeight="1" s="34"/>
    <row r="637" ht="15.75" customHeight="1" s="34"/>
    <row r="638" ht="15.75" customHeight="1" s="34"/>
    <row r="639" ht="15.75" customHeight="1" s="34"/>
    <row r="640" ht="15.75" customHeight="1" s="34"/>
    <row r="641" ht="15.75" customHeight="1" s="34"/>
    <row r="642" ht="15.75" customHeight="1" s="34"/>
    <row r="643" ht="15.75" customHeight="1" s="34"/>
    <row r="644" ht="15.75" customHeight="1" s="34"/>
    <row r="645" ht="15.75" customHeight="1" s="34"/>
    <row r="646" ht="15.75" customHeight="1" s="34"/>
    <row r="647" ht="15.75" customHeight="1" s="34"/>
    <row r="648" ht="15.75" customHeight="1" s="34"/>
    <row r="649" ht="15.75" customHeight="1" s="34"/>
    <row r="650" ht="15.75" customHeight="1" s="34"/>
    <row r="651" ht="15.75" customHeight="1" s="34"/>
    <row r="652" ht="15.75" customHeight="1" s="34"/>
    <row r="653" ht="15.75" customHeight="1" s="34"/>
    <row r="654" ht="15.75" customHeight="1" s="34"/>
    <row r="655" ht="15.75" customHeight="1" s="34"/>
    <row r="656" ht="15.75" customHeight="1" s="34"/>
    <row r="657" ht="15.75" customHeight="1" s="34"/>
    <row r="658" ht="15.75" customHeight="1" s="34"/>
    <row r="659" ht="15.75" customHeight="1" s="34"/>
    <row r="660" ht="15.75" customHeight="1" s="34"/>
    <row r="661" ht="15.75" customHeight="1" s="34"/>
    <row r="662" ht="15.75" customHeight="1" s="34"/>
    <row r="663" ht="15.75" customHeight="1" s="34"/>
    <row r="664" ht="15.75" customHeight="1" s="34"/>
    <row r="665" ht="15.75" customHeight="1" s="34"/>
    <row r="666" ht="15.75" customHeight="1" s="34"/>
    <row r="667" ht="15.75" customHeight="1" s="34"/>
    <row r="668" ht="15.75" customHeight="1" s="34"/>
    <row r="669" ht="15.75" customHeight="1" s="34"/>
    <row r="670" ht="15.75" customHeight="1" s="34"/>
    <row r="671" ht="15.75" customHeight="1" s="34"/>
    <row r="672" ht="15.75" customHeight="1" s="34"/>
    <row r="673" ht="15.75" customHeight="1" s="34"/>
    <row r="674" ht="15.75" customHeight="1" s="34"/>
    <row r="675" ht="15.75" customHeight="1" s="34"/>
    <row r="676" ht="15.75" customHeight="1" s="34"/>
    <row r="677" ht="15.75" customHeight="1" s="34"/>
    <row r="678" ht="15.75" customHeight="1" s="34"/>
    <row r="679" ht="15.75" customHeight="1" s="34"/>
    <row r="680" ht="15.75" customHeight="1" s="34"/>
    <row r="681" ht="15.75" customHeight="1" s="34"/>
    <row r="682" ht="15.75" customHeight="1" s="34"/>
    <row r="683" ht="15.75" customHeight="1" s="34"/>
    <row r="684" ht="15.75" customHeight="1" s="34"/>
    <row r="685" ht="15.75" customHeight="1" s="34"/>
    <row r="686" ht="15.75" customHeight="1" s="34"/>
    <row r="687" ht="15.75" customHeight="1" s="34"/>
    <row r="688" ht="15.75" customHeight="1" s="34"/>
    <row r="689" ht="15.75" customHeight="1" s="34"/>
    <row r="690" ht="15.75" customHeight="1" s="34"/>
    <row r="691" ht="15.75" customHeight="1" s="34"/>
    <row r="692" ht="15.75" customHeight="1" s="34"/>
    <row r="693" ht="15.75" customHeight="1" s="34"/>
    <row r="694" ht="15.75" customHeight="1" s="34"/>
    <row r="695" ht="15.75" customHeight="1" s="34"/>
    <row r="696" ht="15.75" customHeight="1" s="34"/>
    <row r="697" ht="15.75" customHeight="1" s="34"/>
    <row r="698" ht="15.75" customHeight="1" s="34"/>
    <row r="699" ht="15.75" customHeight="1" s="34"/>
    <row r="700" ht="15.75" customHeight="1" s="34"/>
    <row r="701" ht="15.75" customHeight="1" s="34"/>
    <row r="702" ht="15.75" customHeight="1" s="34"/>
    <row r="703" ht="15.75" customHeight="1" s="34"/>
    <row r="704" ht="15.75" customHeight="1" s="34"/>
    <row r="705" ht="15.75" customHeight="1" s="34"/>
    <row r="706" ht="15.75" customHeight="1" s="34"/>
    <row r="707" ht="15.75" customHeight="1" s="34"/>
    <row r="708" ht="15.75" customHeight="1" s="34"/>
    <row r="709" ht="15.75" customHeight="1" s="34"/>
    <row r="710" ht="15.75" customHeight="1" s="34"/>
    <row r="711" ht="15.75" customHeight="1" s="34"/>
    <row r="712" ht="15.75" customHeight="1" s="34"/>
    <row r="713" ht="15.75" customHeight="1" s="34"/>
    <row r="714" ht="15.75" customHeight="1" s="34"/>
    <row r="715" ht="15.75" customHeight="1" s="34"/>
    <row r="716" ht="15.75" customHeight="1" s="34"/>
    <row r="717" ht="15.75" customHeight="1" s="34"/>
    <row r="718" ht="15.75" customHeight="1" s="34"/>
    <row r="719" ht="15.75" customHeight="1" s="34"/>
    <row r="720" ht="15.75" customHeight="1" s="34"/>
    <row r="721" ht="15.75" customHeight="1" s="34"/>
    <row r="722" ht="15.75" customHeight="1" s="34"/>
    <row r="723" ht="15.75" customHeight="1" s="34"/>
    <row r="724" ht="15.75" customHeight="1" s="34"/>
    <row r="725" ht="15.75" customHeight="1" s="34"/>
    <row r="726" ht="15.75" customHeight="1" s="34"/>
    <row r="727" ht="15.75" customHeight="1" s="34"/>
    <row r="728" ht="15.75" customHeight="1" s="34"/>
    <row r="729" ht="15.75" customHeight="1" s="34"/>
    <row r="730" ht="15.75" customHeight="1" s="34"/>
    <row r="731" ht="15.75" customHeight="1" s="34"/>
    <row r="732" ht="15.75" customHeight="1" s="34"/>
    <row r="733" ht="15.75" customHeight="1" s="34"/>
    <row r="734" ht="15.75" customHeight="1" s="34"/>
    <row r="735" ht="15.75" customHeight="1" s="34"/>
    <row r="736" ht="15.75" customHeight="1" s="34"/>
    <row r="737" ht="15.75" customHeight="1" s="34"/>
    <row r="738" ht="15.75" customHeight="1" s="34"/>
    <row r="739" ht="15.75" customHeight="1" s="34"/>
    <row r="740" ht="15.75" customHeight="1" s="34"/>
    <row r="741" ht="15.75" customHeight="1" s="34"/>
    <row r="742" ht="15.75" customHeight="1" s="34"/>
    <row r="743" ht="15.75" customHeight="1" s="34"/>
    <row r="744" ht="15.75" customHeight="1" s="34"/>
    <row r="745" ht="15.75" customHeight="1" s="34"/>
    <row r="746" ht="15.75" customHeight="1" s="34"/>
    <row r="747" ht="15.75" customHeight="1" s="34"/>
    <row r="748" ht="15.75" customHeight="1" s="34"/>
    <row r="749" ht="15.75" customHeight="1" s="34"/>
    <row r="750" ht="15.75" customHeight="1" s="34"/>
    <row r="751" ht="15.75" customHeight="1" s="34"/>
    <row r="752" ht="15.75" customHeight="1" s="34"/>
    <row r="753" ht="15.75" customHeight="1" s="34"/>
    <row r="754" ht="15.75" customHeight="1" s="34"/>
    <row r="755" ht="15.75" customHeight="1" s="34"/>
    <row r="756" ht="15.75" customHeight="1" s="34"/>
    <row r="757" ht="15.75" customHeight="1" s="34"/>
    <row r="758" ht="15.75" customHeight="1" s="34"/>
    <row r="759" ht="15.75" customHeight="1" s="34"/>
    <row r="760" ht="15.75" customHeight="1" s="34"/>
    <row r="761" ht="15.75" customHeight="1" s="34"/>
    <row r="762" ht="15.75" customHeight="1" s="34"/>
    <row r="763" ht="15.75" customHeight="1" s="34"/>
    <row r="764" ht="15.75" customHeight="1" s="34"/>
    <row r="765" ht="15.75" customHeight="1" s="34"/>
    <row r="766" ht="15.75" customHeight="1" s="34"/>
    <row r="767" ht="15.75" customHeight="1" s="34"/>
    <row r="768" ht="15.75" customHeight="1" s="34"/>
    <row r="769" ht="15.75" customHeight="1" s="34"/>
    <row r="770" ht="15.75" customHeight="1" s="34"/>
    <row r="771" ht="15.75" customHeight="1" s="34"/>
    <row r="772" ht="15.75" customHeight="1" s="34"/>
    <row r="773" ht="15.75" customHeight="1" s="34"/>
    <row r="774" ht="15.75" customHeight="1" s="34"/>
    <row r="775" ht="15.75" customHeight="1" s="34"/>
    <row r="776" ht="15.75" customHeight="1" s="34"/>
    <row r="777" ht="15.75" customHeight="1" s="34"/>
    <row r="778" ht="15.75" customHeight="1" s="34"/>
    <row r="779" ht="15.75" customHeight="1" s="34"/>
    <row r="780" ht="15.75" customHeight="1" s="34"/>
    <row r="781" ht="15.75" customHeight="1" s="34"/>
    <row r="782" ht="15.75" customHeight="1" s="34"/>
    <row r="783" ht="15.75" customHeight="1" s="34"/>
    <row r="784" ht="15.75" customHeight="1" s="34"/>
    <row r="785" ht="15.75" customHeight="1" s="34"/>
    <row r="786" ht="15.75" customHeight="1" s="34"/>
    <row r="787" ht="15.75" customHeight="1" s="34"/>
    <row r="788" ht="15.75" customHeight="1" s="34"/>
    <row r="789" ht="15.75" customHeight="1" s="34"/>
    <row r="790" ht="15.75" customHeight="1" s="34"/>
    <row r="791" ht="15.75" customHeight="1" s="34"/>
    <row r="792" ht="15.75" customHeight="1" s="34"/>
    <row r="793" ht="15.75" customHeight="1" s="34"/>
    <row r="794" ht="15.75" customHeight="1" s="34"/>
    <row r="795" ht="15.75" customHeight="1" s="34"/>
    <row r="796" ht="15.75" customHeight="1" s="34"/>
    <row r="797" ht="15.75" customHeight="1" s="34"/>
    <row r="798" ht="15.75" customHeight="1" s="34"/>
    <row r="799" ht="15.75" customHeight="1" s="34"/>
    <row r="800" ht="15.75" customHeight="1" s="34"/>
    <row r="801" ht="15.75" customHeight="1" s="34"/>
    <row r="802" ht="15.75" customHeight="1" s="34"/>
    <row r="803" ht="15.75" customHeight="1" s="34"/>
    <row r="804" ht="15.75" customHeight="1" s="34"/>
    <row r="805" ht="15.75" customHeight="1" s="34"/>
    <row r="806" ht="15.75" customHeight="1" s="34"/>
    <row r="807" ht="15.75" customHeight="1" s="34"/>
    <row r="808" ht="15.75" customHeight="1" s="34"/>
    <row r="809" ht="15.75" customHeight="1" s="34"/>
    <row r="810" ht="15.75" customHeight="1" s="34"/>
    <row r="811" ht="15.75" customHeight="1" s="34"/>
    <row r="812" ht="15.75" customHeight="1" s="34"/>
    <row r="813" ht="15.75" customHeight="1" s="34"/>
    <row r="814" ht="15.75" customHeight="1" s="34"/>
    <row r="815" ht="15.75" customHeight="1" s="34"/>
    <row r="816" ht="15.75" customHeight="1" s="34"/>
    <row r="817" ht="15.75" customHeight="1" s="34"/>
    <row r="818" ht="15.75" customHeight="1" s="34"/>
    <row r="819" ht="15.75" customHeight="1" s="34"/>
    <row r="820" ht="15.75" customHeight="1" s="34"/>
    <row r="821" ht="15.75" customHeight="1" s="34"/>
    <row r="822" ht="15.75" customHeight="1" s="34"/>
    <row r="823" ht="15.75" customHeight="1" s="34"/>
    <row r="824" ht="15.75" customHeight="1" s="34"/>
    <row r="825" ht="15.75" customHeight="1" s="34"/>
    <row r="826" ht="15.75" customHeight="1" s="34"/>
    <row r="827" ht="15.75" customHeight="1" s="34"/>
    <row r="828" ht="15.75" customHeight="1" s="34"/>
    <row r="829" ht="15.75" customHeight="1" s="34"/>
    <row r="830" ht="15.75" customHeight="1" s="34"/>
    <row r="831" ht="15.75" customHeight="1" s="34"/>
    <row r="832" ht="15.75" customHeight="1" s="34"/>
    <row r="833" ht="15.75" customHeight="1" s="34"/>
    <row r="834" ht="15.75" customHeight="1" s="34"/>
    <row r="835" ht="15.75" customHeight="1" s="34"/>
    <row r="836" ht="15.75" customHeight="1" s="34"/>
    <row r="837" ht="15.75" customHeight="1" s="34"/>
    <row r="838" ht="15.75" customHeight="1" s="34"/>
    <row r="839" ht="15.75" customHeight="1" s="34"/>
    <row r="840" ht="15.75" customHeight="1" s="34"/>
    <row r="841" ht="15.75" customHeight="1" s="34"/>
    <row r="842" ht="15.75" customHeight="1" s="34"/>
    <row r="843" ht="15.75" customHeight="1" s="34"/>
    <row r="844" ht="15.75" customHeight="1" s="34"/>
    <row r="845" ht="15.75" customHeight="1" s="34"/>
    <row r="846" ht="15.75" customHeight="1" s="34"/>
    <row r="847" ht="15.75" customHeight="1" s="34"/>
    <row r="848" ht="15.75" customHeight="1" s="34"/>
    <row r="849" ht="15.75" customHeight="1" s="34"/>
    <row r="850" ht="15.75" customHeight="1" s="34"/>
    <row r="851" ht="15.75" customHeight="1" s="34"/>
    <row r="852" ht="15.75" customHeight="1" s="34"/>
    <row r="853" ht="15.75" customHeight="1" s="34"/>
    <row r="854" ht="15.75" customHeight="1" s="34"/>
    <row r="855" ht="15.75" customHeight="1" s="34"/>
    <row r="856" ht="15.75" customHeight="1" s="34"/>
    <row r="857" ht="15.75" customHeight="1" s="34"/>
    <row r="858" ht="15.75" customHeight="1" s="34"/>
    <row r="859" ht="15.75" customHeight="1" s="34"/>
    <row r="860" ht="15.75" customHeight="1" s="34"/>
    <row r="861" ht="15.75" customHeight="1" s="34"/>
    <row r="862" ht="15.75" customHeight="1" s="34"/>
    <row r="863" ht="15.75" customHeight="1" s="34"/>
    <row r="864" ht="15.75" customHeight="1" s="34"/>
    <row r="865" ht="15.75" customHeight="1" s="34"/>
    <row r="866" ht="15.75" customHeight="1" s="34"/>
    <row r="867" ht="15.75" customHeight="1" s="34"/>
    <row r="868" ht="15.75" customHeight="1" s="34"/>
    <row r="869" ht="15.75" customHeight="1" s="34"/>
    <row r="870" ht="15.75" customHeight="1" s="34"/>
    <row r="871" ht="15.75" customHeight="1" s="34"/>
    <row r="872" ht="15.75" customHeight="1" s="34"/>
    <row r="873" ht="15.75" customHeight="1" s="34"/>
    <row r="874" ht="15.75" customHeight="1" s="34"/>
    <row r="875" ht="15.75" customHeight="1" s="34"/>
    <row r="876" ht="15.75" customHeight="1" s="34"/>
    <row r="877" ht="15.75" customHeight="1" s="34"/>
    <row r="878" ht="15.75" customHeight="1" s="34"/>
    <row r="879" ht="15.75" customHeight="1" s="34"/>
    <row r="880" ht="15.75" customHeight="1" s="34"/>
    <row r="881" ht="15.75" customHeight="1" s="34"/>
    <row r="882" ht="15.75" customHeight="1" s="34"/>
    <row r="883" ht="15.75" customHeight="1" s="34"/>
    <row r="884" ht="15.75" customHeight="1" s="34"/>
    <row r="885" ht="15.75" customHeight="1" s="34"/>
    <row r="886" ht="15.75" customHeight="1" s="34"/>
    <row r="887" ht="15.75" customHeight="1" s="34"/>
    <row r="888" ht="15.75" customHeight="1" s="34"/>
    <row r="889" ht="15.75" customHeight="1" s="34"/>
    <row r="890" ht="15.75" customHeight="1" s="34"/>
    <row r="891" ht="15.75" customHeight="1" s="34"/>
    <row r="892" ht="15.75" customHeight="1" s="34"/>
    <row r="893" ht="15.75" customHeight="1" s="34"/>
    <row r="894" ht="15.75" customHeight="1" s="34"/>
    <row r="895" ht="15.75" customHeight="1" s="34"/>
    <row r="896" ht="15.75" customHeight="1" s="34"/>
    <row r="897" ht="15.75" customHeight="1" s="34"/>
    <row r="898" ht="15.75" customHeight="1" s="34"/>
    <row r="899" ht="15.75" customHeight="1" s="34"/>
    <row r="900" ht="15.75" customHeight="1" s="34"/>
    <row r="901" ht="15.75" customHeight="1" s="34"/>
    <row r="902" ht="15.75" customHeight="1" s="34"/>
    <row r="903" ht="15.75" customHeight="1" s="34"/>
    <row r="904" ht="15.75" customHeight="1" s="34"/>
    <row r="905" ht="15.75" customHeight="1" s="34"/>
    <row r="906" ht="15.75" customHeight="1" s="34"/>
    <row r="907" ht="15.75" customHeight="1" s="34"/>
    <row r="908" ht="15.75" customHeight="1" s="34"/>
    <row r="909" ht="15.75" customHeight="1" s="34"/>
    <row r="910" ht="15.75" customHeight="1" s="34"/>
    <row r="911" ht="15.75" customHeight="1" s="34"/>
    <row r="912" ht="15.75" customHeight="1" s="34"/>
    <row r="913" ht="15.75" customHeight="1" s="34"/>
    <row r="914" ht="15.75" customHeight="1" s="34"/>
    <row r="915" ht="15.75" customHeight="1" s="34"/>
    <row r="916" ht="15.75" customHeight="1" s="34"/>
    <row r="917" ht="15.75" customHeight="1" s="34"/>
    <row r="918" ht="15.75" customHeight="1" s="34"/>
    <row r="919" ht="15.75" customHeight="1" s="34"/>
    <row r="920" ht="15.75" customHeight="1" s="34"/>
    <row r="921" ht="15.75" customHeight="1" s="34"/>
    <row r="922" ht="15.75" customHeight="1" s="34"/>
    <row r="923" ht="15.75" customHeight="1" s="34"/>
    <row r="924" ht="15.75" customHeight="1" s="34"/>
    <row r="925" ht="15.75" customHeight="1" s="34"/>
    <row r="926" ht="15.75" customHeight="1" s="34"/>
    <row r="927" ht="15.75" customHeight="1" s="34"/>
    <row r="928" ht="15.75" customHeight="1" s="34"/>
    <row r="929" ht="15.75" customHeight="1" s="34"/>
    <row r="930" ht="15.75" customHeight="1" s="34"/>
    <row r="931" ht="15.75" customHeight="1" s="34"/>
    <row r="932" ht="15.75" customHeight="1" s="34"/>
    <row r="933" ht="15.75" customHeight="1" s="34"/>
    <row r="934" ht="15.75" customHeight="1" s="34"/>
    <row r="935" ht="15.75" customHeight="1" s="34"/>
    <row r="936" ht="15.75" customHeight="1" s="34"/>
    <row r="937" ht="15.75" customHeight="1" s="34"/>
    <row r="938" ht="15.75" customHeight="1" s="34"/>
    <row r="939" ht="15.75" customHeight="1" s="34"/>
    <row r="940" ht="15.75" customHeight="1" s="34"/>
    <row r="941" ht="15.75" customHeight="1" s="34"/>
    <row r="942" ht="15.75" customHeight="1" s="34"/>
    <row r="943" ht="15.75" customHeight="1" s="34"/>
    <row r="944" ht="15.75" customHeight="1" s="34"/>
    <row r="945" ht="15.75" customHeight="1" s="34"/>
    <row r="946" ht="15.75" customHeight="1" s="34"/>
    <row r="947" ht="15.75" customHeight="1" s="34"/>
    <row r="948" ht="15.75" customHeight="1" s="34"/>
    <row r="949" ht="15.75" customHeight="1" s="34"/>
    <row r="950" ht="15.75" customHeight="1" s="34"/>
    <row r="951" ht="15.75" customHeight="1" s="34"/>
    <row r="952" ht="15.75" customHeight="1" s="34"/>
    <row r="953" ht="15.75" customHeight="1" s="34"/>
    <row r="954" ht="15.75" customHeight="1" s="34"/>
    <row r="955" ht="15.75" customHeight="1" s="34"/>
    <row r="956" ht="15.75" customHeight="1" s="34"/>
    <row r="957" ht="15.75" customHeight="1" s="34"/>
    <row r="958" ht="15.75" customHeight="1" s="34"/>
    <row r="959" ht="15.75" customHeight="1" s="34"/>
    <row r="960" ht="15.75" customHeight="1" s="34"/>
    <row r="961" ht="15.75" customHeight="1" s="34"/>
    <row r="962" ht="15.75" customHeight="1" s="34"/>
    <row r="963" ht="15.75" customHeight="1" s="34"/>
    <row r="964" ht="15.75" customHeight="1" s="34"/>
    <row r="965" ht="15.75" customHeight="1" s="34"/>
    <row r="966" ht="15.75" customHeight="1" s="34"/>
    <row r="967" ht="15.75" customHeight="1" s="34"/>
    <row r="968" ht="15.75" customHeight="1" s="34"/>
    <row r="969" ht="15.75" customHeight="1" s="34"/>
    <row r="970" ht="15.75" customHeight="1" s="34"/>
    <row r="971" ht="15.75" customHeight="1" s="34"/>
    <row r="972" ht="15.75" customHeight="1" s="34"/>
    <row r="973" ht="15.75" customHeight="1" s="34"/>
    <row r="974" ht="15.75" customHeight="1" s="34"/>
    <row r="975" ht="15.75" customHeight="1" s="34"/>
    <row r="976" ht="15.75" customHeight="1" s="34"/>
    <row r="977" ht="15.75" customHeight="1" s="34"/>
    <row r="978" ht="15.75" customHeight="1" s="34"/>
    <row r="979" ht="15.75" customHeight="1" s="34"/>
    <row r="980" ht="15.75" customHeight="1" s="34"/>
    <row r="981" ht="15.75" customHeight="1" s="34"/>
    <row r="982" ht="15.75" customHeight="1" s="34"/>
    <row r="983" ht="15.75" customHeight="1" s="34"/>
    <row r="984" ht="15.75" customHeight="1" s="34"/>
    <row r="985" ht="15.75" customHeight="1" s="34"/>
    <row r="986" ht="15.75" customHeight="1" s="34"/>
    <row r="987" ht="15.75" customHeight="1" s="34"/>
    <row r="988" ht="15.75" customHeight="1" s="34"/>
    <row r="989" ht="15.75" customHeight="1" s="34"/>
    <row r="990" ht="15.75" customHeight="1" s="34"/>
    <row r="991" ht="15.75" customHeight="1" s="34"/>
    <row r="992" ht="15.75" customHeight="1" s="34"/>
    <row r="993" ht="15.75" customHeight="1" s="34"/>
    <row r="994" ht="15.75" customHeight="1" s="34"/>
    <row r="995" ht="15.75" customHeight="1" s="34"/>
    <row r="996" ht="15.75" customHeight="1" s="34"/>
    <row r="997" ht="15.75" customHeight="1" s="34"/>
    <row r="998" ht="15.75" customHeight="1" s="34"/>
    <row r="999" ht="15.75" customHeight="1" s="34"/>
    <row r="1000" ht="15.75" customHeight="1" s="34"/>
  </sheetData>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xmlns:dc="http://purl.org/dc/elements/1.1/" xmlns:dcterms="http://purl.org/dc/terms/" xmlns:xsi="http://www.w3.org/2001/XMLSchema-instance">
  <dc:creator>openpyxl</dc:creator>
  <dcterms:created xsi:type="dcterms:W3CDTF">2026-09-11T17:19:01Z</dcterms:created>
  <dcterms:modified xsi:type="dcterms:W3CDTF">2026-10-20T15:35:57Z</dcterms:modified>
</cp:coreProperties>
</file>