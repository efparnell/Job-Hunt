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Dashboard" sheetId="1" state="visible" r:id="rId1"/>
    <sheet name="Opportunities" sheetId="2" state="visible" r:id="rId2"/>
    <sheet name="Weekly Activity" sheetId="3" state="visible" r:id="rId3"/>
    <sheet name="Lists" sheetId="4" state="visible" r:id="rId4"/>
    <sheet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 /><Relationship Type="http://schemas.openxmlformats.org/officeDocument/2006/relationships/hyperlink" Target="https://www.linkedin.com/jobs/view/4452772008/" TargetMode="External" Id="rId2" /><Relationship Type="http://schemas.openxmlformats.org/officeDocument/2006/relationships/hyperlink" Target="https://www.linkedin.com/jobs/view/4445946841/" TargetMode="External" Id="rId3" /><Relationship Type="http://schemas.openxmlformats.org/officeDocument/2006/relationships/hyperlink" Target="https://www.linkedin.com/jobs/view/4451071739/" TargetMode="External" Id="rId4" /><Relationship Type="http://schemas.openxmlformats.org/officeDocument/2006/relationships/hyperlink" Target="https://sourcehire.app/jobs/operations-manager" TargetMode="External" Id="rId5" /><Relationship Type="http://schemas.openxmlformats.org/officeDocument/2006/relationships/hyperlink" Target="https://www.linkedin.com/jobs/view/4452244074/" TargetMode="External" Id="rId6" 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 /><Relationship Type="http://schemas.openxmlformats.org/officeDocument/2006/relationships/hyperlink" Target="https://www.linkedin.com/jobs/view/4446523351/" TargetMode="External" Id="rId8" /><Relationship Type="http://schemas.openxmlformats.org/officeDocument/2006/relationships/hyperlink" Target="https://www.linkedin.com/jobs/view/4452833397/" TargetMode="External" Id="rId9" /><Relationship Type="http://schemas.openxmlformats.org/officeDocument/2006/relationships/hyperlink" Target="https://www.linkedin.com/jobs/view/4433314898/" TargetMode="External" Id="rId10" /><Relationship Type="http://schemas.openxmlformats.org/officeDocument/2006/relationships/hyperlink" Target="https://www.linkedin.com/jobs/view/4452986729/" TargetMode="External" Id="rId11" /><Relationship Type="http://schemas.openxmlformats.org/officeDocument/2006/relationships/hyperlink" Target="https://www.linkedin.com/jobs/view/4456758511/" TargetMode="External" Id="rId1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Passive - assumed dead end (Evan 9/18); no follow-up. Close 10/2 if no inbound contact</t>
        </is>
      </c>
      <c r="P4" s="20" t="n">
        <v>46297</v>
      </c>
      <c r="Q4" s="20" t="n">
        <v>46249</v>
      </c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Passive - assumed dead end (Evan 9/18); no follow-up. Close 10/2 if no inbound contact</t>
        </is>
      </c>
      <c r="P5" s="20" t="n">
        <v>46297</v>
      </c>
      <c r="Q5" s="20" t="n">
        <v>46251</v>
      </c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Passive - assumed dead end (Evan 9/18); no follow-up. Close 10/2 if no inbound contact</t>
        </is>
      </c>
      <c r="P6" s="20" t="n">
        <v>46297</v>
      </c>
      <c r="Q6" s="20" t="n">
        <v>46244</v>
      </c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Closed - Lost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n"/>
      <c r="P7" s="20" t="n"/>
      <c r="Q7" s="20" t="inlineStr">
        <is>
          <t>Self-closed 9/18/26 - no response since applying</t>
        </is>
      </c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 Closed 9/18/26 in pipeline hygiene pass: listing pulled, recruiter silent 6 weeks since 8/9 application.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Closed - Lost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n"/>
      <c r="P9" s="20" t="n"/>
      <c r="Q9" s="20" t="inlineStr">
        <is>
          <t>Self-closed 9/18/26 - no response since applying</t>
        </is>
      </c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 Closed 9/18/26 in pipeline hygiene pass: below fit threshold (65), generic COO pattern, no response in 31 days.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Closed - Lost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n"/>
      <c r="P10" s="20" t="n"/>
      <c r="Q10" s="20" t="inlineStr">
        <is>
          <t>Self-closed 9/18/26 - no response since applying</t>
        </is>
      </c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 Closed 9/18/26 in pipeline hygiene pass: below fit threshold (68), weak sector adjacency, no response in 32 days.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inlineStr">
        <is>
          <t>Passive - assumed dead end (Evan 9/18); no follow-up. Close 10/2 if no inbound contact</t>
        </is>
      </c>
      <c r="P12" s="27" t="n">
        <v>46297</v>
      </c>
      <c r="Q12" s="27" t="n">
        <v>46254</v>
      </c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inlineStr">
        <is>
          <t>Passive - assumed dead end (Evan 9/18); no follow-up. Close 10/2 if no inbound contact</t>
        </is>
      </c>
      <c r="P13" s="27" t="n">
        <v>46297</v>
      </c>
      <c r="Q13" s="27" t="n">
        <v>46254</v>
      </c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inlineStr">
        <is>
          <t>Passive - assumed dead end (Evan 9/18); no follow-up. Close 10/2 if no inbound contact</t>
        </is>
      </c>
      <c r="P14" s="27" t="n">
        <v>46297</v>
      </c>
      <c r="Q14" s="27" t="n">
        <v>46254</v>
      </c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inlineStr">
        <is>
          <t>OPP-017</t>
        </is>
      </c>
      <c r="B18" s="8" t="inlineStr">
        <is>
          <t>Wing (Alphabet drone delivery)</t>
        </is>
      </c>
      <c r="C18" s="8" t="inlineStr">
        <is>
          <t>Head of Business Operations</t>
        </is>
      </c>
      <c r="D18" s="8" t="n"/>
      <c r="E18" s="8" t="inlineStr">
        <is>
          <t>Drone delivery / logistics technology</t>
        </is>
      </c>
      <c r="F18" s="8" t="n"/>
      <c r="G18" s="8" t="n"/>
      <c r="H18" s="7" t="n"/>
      <c r="I18" s="7" t="n"/>
      <c r="J18" s="8" t="inlineStr">
        <is>
          <t>Closed - Lost</t>
        </is>
      </c>
      <c r="K18" s="8" t="n"/>
      <c r="L18" s="9" t="n"/>
      <c r="M18" s="8" t="inlineStr">
        <is>
          <t>Not listed</t>
        </is>
      </c>
      <c r="N18" s="8" t="n"/>
      <c r="O18" s="8" t="n"/>
      <c r="P18" s="7" t="n"/>
      <c r="Q18" s="7" t="inlineStr">
        <is>
          <t>Rejection email 9/17/26 (Joelle DuPlessis, Wing Talent Acquisition)</t>
        </is>
      </c>
      <c r="R18" s="8" t="n"/>
      <c r="S18" s="8" t="n"/>
      <c r="T18" s="8" t="n"/>
      <c r="U18" s="8" t="inlineStr">
        <is>
          <t>Rejected 9/17/26 - boilerplate "officially filled this role," invited to watch Wing Careers as they scale to new metro hubs. Early application from before the target-profile narrowing; outside the core industrial/HVAC/technical-services lane. Date applied, source, location, resume version, and fit score unknown - only the rejection email is available. Not backfilled, same treatment as MSD (OPP-016).</t>
        </is>
      </c>
    </row>
    <row r="19" ht="15.75" customHeight="1" s="34">
      <c r="A19" s="11" t="inlineStr">
        <is>
          <t>OPP-018</t>
        </is>
      </c>
      <c r="B19" s="24" t="inlineStr">
        <is>
          <t>Jet Blast, Inc. (UME Holdings)</t>
        </is>
      </c>
      <c r="C19" s="24" t="inlineStr">
        <is>
          <t>General Manager</t>
        </is>
      </c>
      <c r="D19" s="24" t="inlineStr">
        <is>
          <t>General Manager</t>
        </is>
      </c>
      <c r="E19" s="24" t="inlineStr">
        <is>
          <t>Industrial / municipal cleaning - environmental field services</t>
        </is>
      </c>
      <c r="F19" s="24" t="inlineStr">
        <is>
          <t>Baltimore, MD (6800 Fort Smallwood Rd); on-site</t>
        </is>
      </c>
      <c r="G19" s="24" t="inlineStr">
        <is>
          <t>LinkedIn</t>
        </is>
      </c>
      <c r="H19" s="22" t="n">
        <v>46269</v>
      </c>
      <c r="I19" s="27" t="n">
        <v>46269</v>
      </c>
      <c r="J19" s="24" t="inlineStr">
        <is>
          <t>Applied</t>
        </is>
      </c>
      <c r="K19" s="24" t="inlineStr">
        <is>
          <t>A</t>
        </is>
      </c>
      <c r="L19" s="29" t="n">
        <v>88</v>
      </c>
      <c r="M19" s="24" t="inlineStr">
        <is>
          <t>Not listed</t>
        </is>
      </c>
      <c r="N19" s="30" t="n"/>
      <c r="O19" s="30" t="inlineStr">
        <is>
          <t>Passive - assumed dead end (Evan 9/18); no follow-up. Close 10/2 if no inbound contact</t>
        </is>
      </c>
      <c r="P19" s="27" t="n">
        <v>46297</v>
      </c>
      <c r="Q19" s="27" t="n">
        <v>46269</v>
      </c>
      <c r="R19" s="28" t="inlineStr">
        <is>
          <t>https://www.linkedin.com/jobs/view/4452737103</t>
        </is>
      </c>
      <c r="S19" s="24" t="inlineStr">
        <is>
          <t>Unknown - confirm</t>
        </is>
      </c>
      <c r="T19" s="24" t="inlineStr">
        <is>
          <t>Unknown</t>
        </is>
      </c>
      <c r="U19" s="24" t="inlineStr">
        <is>
          <t>Applied ~9/4/26 (approximate - Evan: "2 weeks ago" as of 9/18). Posting was reposted ~9/11 with no response to Evan, which suggests the first applicant pool did not produce a hire and his application was likely screened out or never reviewed. 76 applicants as of 9/18. Full P&amp;L across multiple sites, 24/7 industrial cleaning (water-jet blasting, industrial vacuum, sewer cleaning), reports directly to the CEO of UME Holdings (Montreal), and would be executive sponsor of an ERP rollout. The first-year mandate is to build the operating system, rebuild the team, and grow the business. It prefers 5-10 years in industrial/environmental/field services, which is his main gap. Comp not listed. Surfaced again in the 9/18 manual scan and scored Fit 88.</t>
        </is>
      </c>
    </row>
    <row r="20" ht="15.75" customHeight="1" s="34">
      <c r="A20" s="8" t="inlineStr">
        <is>
          <t>OPP-019</t>
        </is>
      </c>
      <c r="B20" s="8" t="inlineStr">
        <is>
          <t>LighthouseAI (a Pharma Solutions company)</t>
        </is>
      </c>
      <c r="C20" s="8" t="inlineStr">
        <is>
          <t>Licensing Operations Manager</t>
        </is>
      </c>
      <c r="D20" s="8" t="n"/>
      <c r="E20" s="8" t="inlineStr">
        <is>
          <t>Pharma compliance / licensing software-services</t>
        </is>
      </c>
      <c r="F20" s="8" t="n"/>
      <c r="G20" s="8" t="n"/>
      <c r="H20" s="7" t="n"/>
      <c r="I20" s="7" t="n"/>
      <c r="J20" s="8" t="inlineStr">
        <is>
          <t>Closed - Lost</t>
        </is>
      </c>
      <c r="K20" s="8" t="n"/>
      <c r="L20" s="9" t="n"/>
      <c r="M20" s="8" t="inlineStr">
        <is>
          <t>Not listed</t>
        </is>
      </c>
      <c r="N20" s="8" t="n"/>
      <c r="O20" s="8" t="n"/>
      <c r="P20" s="7" t="n"/>
      <c r="Q20" s="7" t="inlineStr">
        <is>
          <t>Rejection email 9/22/26 (HR, via Rippling ATS)</t>
        </is>
      </c>
      <c r="R20" s="8" t="n"/>
      <c r="S20" s="8" t="n"/>
      <c r="T20" s="8" t="n"/>
      <c r="U20" s="8" t="inlineStr">
        <is>
          <t>Rejected 9/22/26 - boilerplate "other candidates match our requirements more closely." Pharma licensing/compliance operations, an adjacent-industry application off his core industrial/technical-services lane. Title is Manager level, below his Director/VP/GM target, so a weak-fit application regardless of outcome. Date applied, source, location, resume version, and fit score unknown - only the rejection email is available. Not backfilled, same treatment as MSD (016) and Wing (017).</t>
        </is>
      </c>
    </row>
    <row r="21" ht="15.75" customHeight="1" s="34">
      <c r="A21" s="8" t="inlineStr">
        <is>
          <t>OPP-020</t>
        </is>
      </c>
      <c r="B21" s="8" t="inlineStr">
        <is>
          <t>Legence</t>
        </is>
      </c>
      <c r="C21" s="8" t="inlineStr">
        <is>
          <t>Director of Operations, Installation &amp; Maintenance (req 3749)</t>
        </is>
      </c>
      <c r="D21" s="8" t="inlineStr">
        <is>
          <t>Director</t>
        </is>
      </c>
      <c r="E21" s="8" t="inlineStr">
        <is>
          <t>Mechanical / energy services (Legence family)</t>
        </is>
      </c>
      <c r="F21" s="8" t="n"/>
      <c r="G21" s="8" t="n"/>
      <c r="H21" s="7" t="n"/>
      <c r="I21" s="7" t="n"/>
      <c r="J21" s="8" t="inlineStr">
        <is>
          <t>Closed - Lost</t>
        </is>
      </c>
      <c r="K21" s="8" t="n"/>
      <c r="L21" s="9" t="n"/>
      <c r="M21" s="8" t="inlineStr">
        <is>
          <t>Not listed</t>
        </is>
      </c>
      <c r="N21" s="8" t="n"/>
      <c r="O21" s="8" t="n"/>
      <c r="P21" s="7" t="n"/>
      <c r="Q21" s="7" t="inlineStr">
        <is>
          <t>Rejection email 9/25/26 (Legence Talent Acquisition, via Dayforce)</t>
        </is>
      </c>
      <c r="R21" s="8" t="n"/>
      <c r="S21" s="8" t="n"/>
      <c r="T21" s="8" t="n"/>
      <c r="U21" s="8" t="inlineStr">
        <is>
          <t>Rejected 9/25/26 - boilerplate "other candidates whose qualifications more closely match our current needs," invited to watch their career page. Right level and right industry family, so this is a real data point rather than a weak-fit application. IMPORTANT: Legence owns W.E. Bowers (Beltsville MD commercial HVAC), whose "Commercial Service Manager" opening surfaced in the 9/18 manual scan - treat the whole Legence family as screened for now. Location, date applied, source, resume version, and fit score unknown - only the rejection email is available.</t>
        </is>
      </c>
    </row>
    <row r="22" ht="15.75" customHeight="1" s="34">
      <c r="A22" s="11" t="inlineStr">
        <is>
          <t>OPP-021</t>
        </is>
      </c>
      <c r="B22" s="24" t="inlineStr">
        <is>
          <t>WillScot</t>
        </is>
      </c>
      <c r="C22" s="24" t="inlineStr">
        <is>
          <t>Director, General Manager</t>
        </is>
      </c>
      <c r="D22" s="24" t="inlineStr">
        <is>
          <t>General Manager</t>
        </is>
      </c>
      <c r="E22" s="24" t="inlineStr">
        <is>
          <t>Modular space / storage equipment leasing - branch service network</t>
        </is>
      </c>
      <c r="F22" s="24" t="inlineStr">
        <is>
          <t>Harmans, MD 21077; on-site (~25 min from Edgewater)</t>
        </is>
      </c>
      <c r="G22" s="24" t="inlineStr">
        <is>
          <t>Claude manual scan 9/29 (company ATS)</t>
        </is>
      </c>
      <c r="H22" s="22" t="n">
        <v>46294</v>
      </c>
      <c r="I22" s="27" t="n"/>
      <c r="J22" s="24" t="inlineStr">
        <is>
          <t>Prospect</t>
        </is>
      </c>
      <c r="K22" s="24" t="inlineStr">
        <is>
          <t>A</t>
        </is>
      </c>
      <c r="L22" s="29" t="n">
        <v>90</v>
      </c>
      <c r="M22" s="24" t="inlineStr">
        <is>
          <t>$168,100-$235,300 base + 25% travel</t>
        </is>
      </c>
      <c r="N22" s="30" t="n"/>
      <c r="O22" s="30" t="inlineStr">
        <is>
          <t>Apply via WillScot ATS this week, then same-day LinkedIn note to the Harmans-area VP, General Manager named as the reporting line</t>
        </is>
      </c>
      <c r="P22" s="27" t="n">
        <v>46297</v>
      </c>
      <c r="Q22" s="27" t="n"/>
      <c r="R22" s="28" t="inlineStr">
        <is>
          <t>https://careers.willscot.com/job/Harmans-WS-Dir%2C-General-Manager-MD-21077/1433598700/</t>
        </is>
      </c>
      <c r="S22" s="24" t="inlineStr">
        <is>
          <t>Technical Services (commercial/P&amp;L emphasis - see Outreach doc)</t>
        </is>
      </c>
      <c r="T22" s="24" t="inlineStr">
        <is>
          <t>Draft 9/29</t>
        </is>
      </c>
      <c r="U22" s="24" t="inlineStr">
        <is>
          <t>Posted 9/24/26, found 9/29 while still ~5 days old. $25M-$60M P&amp;L across multiple branches/MSAs; direct reports are branch operations managers, field service managers, field sales and customer service; reports to a VP, General Manager. Requires 8+ years progressively responsible business-unit management; $5M+ P&amp;L preferred; rental/leasing and branch-network experience PREFERRED, NOT REQUIRED - which is why reception odds are good for a career-changer. Comp well above target. Risk: the GM carries revenue and sales-team accountability, so the pitch must lead with commercial P&amp;L ownership (30% sales increase / 40% cost reduction in four months) rather than SOP/KPI building alone. Way in: company SAP/SuccessFactors ATS rather than LinkedIn Easy Apply, and the posting discloses the reporting line for direct outreach. Best opening produced by either the 9/18 or 9/29 scan.</t>
        </is>
      </c>
    </row>
    <row r="23" ht="15.75" customHeight="1" s="34">
      <c r="A23" s="11" t="inlineStr">
        <is>
          <t>OPP-022</t>
        </is>
      </c>
      <c r="B23" s="24" t="inlineStr">
        <is>
          <t>Microbac Laboratories</t>
        </is>
      </c>
      <c r="C23" s="24" t="inlineStr">
        <is>
          <t>Regional Laboratory Operations Director, Northeast</t>
        </is>
      </c>
      <c r="D23" s="24" t="inlineStr">
        <is>
          <t>Director</t>
        </is>
      </c>
      <c r="E23" s="24" t="inlineStr">
        <is>
          <t>Commercial testing laboratories (PE-backed roll-up)</t>
        </is>
      </c>
      <c r="F23" s="24" t="inlineStr">
        <is>
          <t>Baltimore, MD (or Dayville, CT); 50% travel</t>
        </is>
      </c>
      <c r="G23" s="24" t="inlineStr">
        <is>
          <t>Claude manual scan 9/29 (LinkedIn)</t>
        </is>
      </c>
      <c r="H23" s="22" t="n">
        <v>46294</v>
      </c>
      <c r="I23" s="27" t="n"/>
      <c r="J23" s="24" t="inlineStr">
        <is>
          <t>Prospect</t>
        </is>
      </c>
      <c r="K23" s="24" t="inlineStr">
        <is>
          <t>B</t>
        </is>
      </c>
      <c r="L23" s="29" t="n">
        <v>80</v>
      </c>
      <c r="M23" s="24" t="inlineStr">
        <is>
          <t>$110,000-$130,000 base</t>
        </is>
      </c>
      <c r="N23" s="30" t="n"/>
      <c r="O23" s="30" t="inlineStr">
        <is>
          <t>Direct approach to the COO (this role reports to them) on LinkedIn; test comp flexibility and territory/travel before applying</t>
        </is>
      </c>
      <c r="P23" s="27" t="n">
        <v>46297</v>
      </c>
      <c r="Q23" s="27" t="n"/>
      <c r="R23" s="28" t="inlineStr">
        <is>
          <t>https://www.linkedin.com/jobs/view/regional-laboratory-operations-director-northeast-at-microbac-laboratories-inc-4467864999</t>
        </is>
      </c>
      <c r="S23" s="24" t="inlineStr">
        <is>
          <t>Laboratory / Technical Services</t>
        </is>
      </c>
      <c r="T23" s="24" t="inlineStr">
        <is>
          <t>No</t>
        </is>
      </c>
      <c r="U23" s="24" t="inlineStr">
        <is>
          <t>Posted ~9/22/26, fewer than 25 applicants as of 9/29. P&amp;L for multiple accredited labs - annual profit plans, monthly tracking and roll-up - reporting directly to the COO. Microbac is PE-backed and actively acquiring labs (Mosaic Diagnostics 2025, Geoanalytical, GPL), so acquisition integration is a live need. BEST RECEPTION MATCH in either scan: analytical chemistry + lab operations + accreditation + multi-site standardization is literally his resume. Evan chose to pursue it on reception grounds despite comp (9/29). Comp is the problem: $110-130k tops out below his ~$140k line and under the Carter Machinery precedent (there the top of the range reached his floor); 50% travel is heavy. Posting asks for 10 years commercial laboratory experience, which is the one reception wobble. Approach the COO before applying.</t>
        </is>
      </c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2026-09-11T17:19:01Z</dcterms:created>
  <dcterms:modified xsi:type="dcterms:W3CDTF">2026-09-30T00:04:01Z</dcterms:modified>
</cp:coreProperties>
</file>